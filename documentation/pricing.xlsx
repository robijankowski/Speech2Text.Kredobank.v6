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Speech2Text.Kredobank.v4\documentation\"/>
    </mc:Choice>
  </mc:AlternateContent>
  <xr:revisionPtr revIDLastSave="0" documentId="13_ncr:1_{041744FB-69CB-4B8B-9F7A-1AEE95B7AB41}" xr6:coauthVersionLast="47" xr6:coauthVersionMax="47" xr10:uidLastSave="{00000000-0000-0000-0000-000000000000}"/>
  <bookViews>
    <workbookView xWindow="-120" yWindow="-120" windowWidth="21840" windowHeight="13020" xr2:uid="{61650599-D606-4C5F-8EBB-B531D50117BC}"/>
  </bookViews>
  <sheets>
    <sheet name="2025-07-28_13-44-28___stats" sheetId="2" r:id="rId1"/>
    <sheet name="Sheet1" sheetId="1" r:id="rId2"/>
  </sheets>
  <definedNames>
    <definedName name="ExternalData_1" localSheetId="0" hidden="1">'2025-07-28_13-44-28___stats'!$A$1:$G$201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" i="2" l="1"/>
  <c r="R9" i="2"/>
  <c r="Q9" i="2"/>
  <c r="O9" i="2"/>
  <c r="N9" i="2"/>
  <c r="L9" i="2"/>
  <c r="K9" i="2"/>
  <c r="K7" i="2"/>
  <c r="P169" i="2"/>
  <c r="O169" i="2"/>
  <c r="M169" i="2"/>
  <c r="L169" i="2"/>
  <c r="J169" i="2"/>
  <c r="I169" i="2"/>
  <c r="P132" i="2"/>
  <c r="O132" i="2"/>
  <c r="M132" i="2"/>
  <c r="L132" i="2"/>
  <c r="J132" i="2"/>
  <c r="I132" i="2"/>
  <c r="P95" i="2"/>
  <c r="O95" i="2"/>
  <c r="M95" i="2"/>
  <c r="L95" i="2"/>
  <c r="J95" i="2"/>
  <c r="I95" i="2"/>
  <c r="P58" i="2"/>
  <c r="O58" i="2"/>
  <c r="M58" i="2"/>
  <c r="L58" i="2"/>
  <c r="J58" i="2"/>
  <c r="I58" i="2"/>
  <c r="M21" i="2"/>
  <c r="P21" i="2"/>
  <c r="O21" i="2"/>
  <c r="O16" i="2" s="1"/>
  <c r="L21" i="2"/>
  <c r="L16" i="2" s="1"/>
  <c r="J21" i="2"/>
  <c r="I21" i="2"/>
  <c r="K132" i="2" l="1"/>
  <c r="N58" i="2"/>
  <c r="Q58" i="2"/>
  <c r="N21" i="2"/>
  <c r="Q95" i="2"/>
  <c r="K21" i="2"/>
  <c r="Q21" i="2"/>
  <c r="K169" i="2"/>
  <c r="K95" i="2"/>
  <c r="N95" i="2"/>
  <c r="N132" i="2"/>
  <c r="Q132" i="2"/>
  <c r="N169" i="2"/>
  <c r="K58" i="2"/>
  <c r="Q169" i="2"/>
  <c r="Q15" i="2" l="1"/>
  <c r="Q16" i="2" s="1"/>
  <c r="K15" i="2"/>
  <c r="K16" i="2" s="1"/>
  <c r="N15" i="2"/>
  <c r="N1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27FC85-CBEF-4BC5-9682-D2DDA449AF1F}" keepAlive="1" name="Query - 2025-07-28_13-44-28___stats" description="Connection to the '2025-07-28_13-44-28___stats' query in the workbook." type="5" refreshedVersion="8" background="1" saveData="1">
    <dbPr connection="Provider=Microsoft.Mashup.OleDb.1;Data Source=$Workbook$;Location=2025-07-28_13-44-28___stats;Extended Properties=&quot;&quot;" command="SELECT * FROM [2025-07-28_13-44-28___stats]"/>
  </connection>
</connections>
</file>

<file path=xl/sharedStrings.xml><?xml version="1.0" encoding="utf-8"?>
<sst xmlns="http://schemas.openxmlformats.org/spreadsheetml/2006/main" count="1227" uniqueCount="82">
  <si>
    <t>Column1</t>
  </si>
  <si>
    <t>Column2</t>
  </si>
  <si>
    <t>Column3</t>
  </si>
  <si>
    <t>Column4</t>
  </si>
  <si>
    <t>Column5</t>
  </si>
  <si>
    <t>Column6</t>
  </si>
  <si>
    <t>Column7</t>
  </si>
  <si>
    <t>Transcribe with:</t>
  </si>
  <si>
    <t>gpt-4o-transcribe</t>
  </si>
  <si>
    <t/>
  </si>
  <si>
    <t>Usage:</t>
  </si>
  <si>
    <t>File name:</t>
  </si>
  <si>
    <t>./sources/_cleaned_left_denoised_silence_removed.wav</t>
  </si>
  <si>
    <t xml:space="preserve"> </t>
  </si>
  <si>
    <t>total_tokens</t>
  </si>
  <si>
    <t>input_tokens</t>
  </si>
  <si>
    <t>output_tokens</t>
  </si>
  <si>
    <t>text_tokens</t>
  </si>
  <si>
    <t>audio_tokens</t>
  </si>
  <si>
    <t>{'type': 'tokens', 'total_tokens': 2423, 'input_tokens': 2275, 'input_token_details': {'text_tokens': 839, 'audio_tokens': 1436}, 'output_tokens': 148}</t>
  </si>
  <si>
    <t>./sources/_cleaned_right_denoised_silence_removed.wav</t>
  </si>
  <si>
    <t>{'type': 'tokens', 'total_tokens': 2928, 'input_tokens': 2528, 'input_token_details': {'text_tokens': 826, 'audio_tokens': 1702}, 'output_tokens': 400}</t>
  </si>
  <si>
    <t>./sources/_cleaned_mono_denoised_silence_removed.wav</t>
  </si>
  <si>
    <t>whisper-1</t>
  </si>
  <si>
    <t>{'type': 'duration', 'seconds': 192}</t>
  </si>
  <si>
    <t>./sources/_cleaned_left_denoised.wav</t>
  </si>
  <si>
    <t>seconds</t>
  </si>
  <si>
    <t>./sources/_cleaned_right_denoised.wav</t>
  </si>
  <si>
    <t>./sources/_cleaned_mono_denoised.wav</t>
  </si>
  <si>
    <t>Split into roles with:</t>
  </si>
  <si>
    <t>gpt-4o</t>
  </si>
  <si>
    <t>CompletionUsage(completion_tokens=455, prompt_tokens=1888, total_tokens=2343, completion_tokens_details=CompletionTokensDetails(accepted_prediction_tokens=0, audio_tokens=0, reasoning_tokens=0, rejected_prediction_tokens=0), prompt_tokens_details=PromptTokensDetails(audio_tokens=0, cached_tokens=0))</t>
  </si>
  <si>
    <t>./sources/.wav</t>
  </si>
  <si>
    <t>completion_tokens</t>
  </si>
  <si>
    <t>prompt_tokens</t>
  </si>
  <si>
    <t>instruction_only_tokens</t>
  </si>
  <si>
    <t>{'type': 'tokens', 'total_tokens': 2196, 'input_tokens': 1736, 'input_token_details': {'text_tokens': 843, 'audio_tokens': 893}, 'output_tokens': 460}</t>
  </si>
  <si>
    <t>{'type': 'tokens', 'total_tokens': 1571, 'input_tokens': 1454, 'input_token_details': {'text_tokens': 845, 'audio_tokens': 609}, 'output_tokens': 117}</t>
  </si>
  <si>
    <t>{'type': 'tokens', 'total_tokens': 2528, 'input_tokens': 1959, 'input_token_details': {'text_tokens': 832, 'audio_tokens': 1127}, 'output_tokens': 569}</t>
  </si>
  <si>
    <t>{'type': 'duration', 'seconds': 116}</t>
  </si>
  <si>
    <t>CompletionUsage(completion_tokens=617, prompt_tokens=2256, total_tokens=2873, completion_tokens_details=CompletionTokensDetails(accepted_prediction_tokens=0, audio_tokens=0, reasoning_tokens=0, rejected_prediction_tokens=0), prompt_tokens_details=PromptTokensDetails(audio_tokens=0, cached_tokens=0))</t>
  </si>
  <si>
    <t>{'type': 'tokens', 'total_tokens': 2029, 'input_tokens': 1724, 'input_token_details': {'text_tokens': 754, 'audio_tokens': 970}, 'output_tokens': 305}</t>
  </si>
  <si>
    <t>{'type': 'tokens', 'total_tokens': 2354, 'input_tokens': 1951, 'input_token_details': {'text_tokens': 756, 'audio_tokens': 1195}, 'output_tokens': 403}</t>
  </si>
  <si>
    <t>{'type': 'tokens', 'total_tokens': 2702, 'input_tokens': 2104, 'input_token_details': {'text_tokens': 743, 'audio_tokens': 1361}, 'output_tokens': 598}</t>
  </si>
  <si>
    <t>{'type': 'duration', 'seconds': 137}</t>
  </si>
  <si>
    <t>CompletionUsage(completion_tokens=679, prompt_tokens=2442, total_tokens=3121, completion_tokens_details=CompletionTokensDetails(accepted_prediction_tokens=0, audio_tokens=0, reasoning_tokens=0, rejected_prediction_tokens=0), prompt_tokens_details=PromptTokensDetails(audio_tokens=0, cached_tokens=0))</t>
  </si>
  <si>
    <t>{'type': 'tokens', 'total_tokens': 1814, 'input_tokens': 1519, 'input_token_details': {'text_tokens': 801, 'audio_tokens': 718}, 'output_tokens': 295}</t>
  </si>
  <si>
    <t>{'type': 'tokens', 'total_tokens': 1098, 'input_tokens': 1088, 'input_token_details': {'text_tokens': 803, 'audio_tokens': 285}, 'output_tokens': 10}</t>
  </si>
  <si>
    <t>{'type': 'tokens', 'total_tokens': 1915, 'input_tokens': 1596, 'input_token_details': {'text_tokens': 790, 'audio_tokens': 806}, 'output_tokens': 319}</t>
  </si>
  <si>
    <t>{'type': 'duration', 'seconds': 84}</t>
  </si>
  <si>
    <t>{'type': 'duration', 'seconds': 0}</t>
  </si>
  <si>
    <t>CompletionUsage(completion_tokens=371, prompt_tokens=1692, total_tokens=2063, completion_tokens_details=CompletionTokensDetails(accepted_prediction_tokens=0, audio_tokens=0, reasoning_tokens=0, rejected_prediction_tokens=0), prompt_tokens_details=PromptTokensDetails(audio_tokens=0, cached_tokens=0))</t>
  </si>
  <si>
    <t>{'type': 'tokens', 'total_tokens': 1332, 'input_tokens': 1224, 'input_token_details': {'text_tokens': 756, 'audio_tokens': 468}, 'output_tokens': 108}</t>
  </si>
  <si>
    <t>{'type': 'tokens', 'total_tokens': 2298, 'input_tokens': 1840, 'input_token_details': {'text_tokens': 754, 'audio_tokens': 1086}, 'output_tokens': 458}</t>
  </si>
  <si>
    <t>{'type': 'tokens', 'total_tokens': 2665, 'input_tokens': 2105, 'input_token_details': {'text_tokens': 743, 'audio_tokens': 1362}, 'output_tokens': 560}</t>
  </si>
  <si>
    <t>{'type': 'duration', 'seconds': 149}</t>
  </si>
  <si>
    <t>CompletionUsage(completion_tokens=618, prompt_tokens=2232, total_tokens=2850, completion_tokens_details=CompletionTokensDetails(accepted_prediction_tokens=0, audio_tokens=0, reasoning_tokens=0, rejected_prediction_tokens=0), prompt_tokens_details=PromptTokensDetails(audio_tokens=0, cached_tokens=0))</t>
  </si>
  <si>
    <t>input prompt</t>
  </si>
  <si>
    <t>input audio</t>
  </si>
  <si>
    <t>Output</t>
  </si>
  <si>
    <t>base time</t>
  </si>
  <si>
    <t>Koszt input (1 M tokenów)</t>
  </si>
  <si>
    <t>Audio
tokens</t>
  </si>
  <si>
    <t>per min</t>
  </si>
  <si>
    <t>Audio</t>
  </si>
  <si>
    <t>Split</t>
  </si>
  <si>
    <t>tekst tokens
per file</t>
  </si>
  <si>
    <t>Input 
tokens</t>
  </si>
  <si>
    <t>Input 
per min</t>
  </si>
  <si>
    <t>Input tokens
static</t>
  </si>
  <si>
    <t>Output
per min</t>
  </si>
  <si>
    <t>Sum</t>
  </si>
  <si>
    <t>Static tekst tokens
per file</t>
  </si>
  <si>
    <t>Audio/min</t>
  </si>
  <si>
    <t>Text/file</t>
  </si>
  <si>
    <t>Text/min</t>
  </si>
  <si>
    <t>text/file</t>
  </si>
  <si>
    <t>Total minutes</t>
  </si>
  <si>
    <t>Average call</t>
  </si>
  <si>
    <t>min</t>
  </si>
  <si>
    <t>cost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</si>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</sst>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  <font>
      <u/>
      <sz val="11"/>
      <color theme="1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NumberFormat="1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2" fontId="3" fillId="0" borderId="1" xfId="1" applyNumberForma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 applyAlignment="1">
      <alignment horizontal="center"/>
    </xf>
    <xf numFmtId="2" fontId="3" fillId="0" borderId="0" xfId="1" applyNumberForma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8B2F75-039B-4F87-B728-3D5027F9E8A2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794853-510F-46C2-AA1B-328ACFAC588F}" name="_2025_07_28_13_44_28___stats" displayName="_2025_07_28_13_44_28___stats" ref="A1:G201" tableType="queryTable" totalsRowShown="0">
  <autoFilter ref="A1:G201" xr:uid="{D1794853-510F-46C2-AA1B-328ACFAC588F}"/>
  <tableColumns count="7">
    <tableColumn id="1" xr3:uid="{7C077D5A-D8C9-4436-A52C-5580439CC3E7}" uniqueName="1" name="Column1" queryTableFieldId="1" dataDxfId="6"/>
    <tableColumn id="2" xr3:uid="{838839B4-18B9-4DF6-A6B7-86EC6B80DBAD}" uniqueName="2" name="Column2" queryTableFieldId="2" dataDxfId="5"/>
    <tableColumn id="3" xr3:uid="{B404A7F6-B83F-4C77-AA5D-8BD93FB98017}" uniqueName="3" name="Column3" queryTableFieldId="3" dataDxfId="4"/>
    <tableColumn id="4" xr3:uid="{D496D2A5-2DF4-4D8F-8F7A-948872EF877F}" uniqueName="4" name="Column4" queryTableFieldId="4" dataDxfId="3"/>
    <tableColumn id="5" xr3:uid="{7E4D1581-2B62-4D2B-AC12-B828BF288139}" uniqueName="5" name="Column5" queryTableFieldId="5" dataDxfId="2"/>
    <tableColumn id="6" xr3:uid="{A0491172-6EEF-48DE-8FA4-3D98B6BB40DE}" uniqueName="6" name="Column6" queryTableFieldId="6" dataDxfId="1"/>
    <tableColumn id="7" xr3:uid="{C92C8D09-72C0-4111-BD05-92F4DAED313C}" uniqueName="7" name="Column7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F7AB4-709E-4517-9C00-61A30C2EA623}">
  <dimension ref="A1:S205"/>
  <sheetViews>
    <sheetView tabSelected="1" topLeftCell="B1" workbookViewId="0">
      <selection activeCell="L21" sqref="L21"/>
    </sheetView>
  </sheetViews>
  <sheetFormatPr defaultRowHeight="15" x14ac:dyDescent="0.25"/>
  <cols>
    <col min="1" max="1" width="18.5703125" bestFit="1" customWidth="1"/>
    <col min="2" max="2" width="17.7109375" customWidth="1"/>
    <col min="3" max="7" width="13.28515625" customWidth="1"/>
    <col min="8" max="8" width="1.5703125" customWidth="1"/>
    <col min="9" max="9" width="15.42578125" customWidth="1"/>
    <col min="10" max="12" width="11.85546875" customWidth="1"/>
    <col min="15" max="15" width="13.28515625" customWidth="1"/>
    <col min="16" max="16" width="9.5703125" customWidth="1"/>
  </cols>
  <sheetData>
    <row r="1" spans="1:18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2" t="s">
        <v>61</v>
      </c>
      <c r="J1" s="2" t="s">
        <v>57</v>
      </c>
      <c r="K1" s="2" t="s">
        <v>58</v>
      </c>
      <c r="L1" s="2" t="s">
        <v>59</v>
      </c>
    </row>
    <row r="2" spans="1:18" ht="15.75" thickBot="1" x14ac:dyDescent="0.3">
      <c r="A2" s="1"/>
      <c r="B2" s="1"/>
      <c r="C2" s="1"/>
      <c r="D2" s="1"/>
      <c r="E2" s="1"/>
      <c r="F2" s="1"/>
      <c r="G2" s="1"/>
      <c r="I2" s="3" t="s">
        <v>8</v>
      </c>
      <c r="J2" s="6">
        <v>2.5</v>
      </c>
      <c r="K2" s="6">
        <v>6</v>
      </c>
      <c r="L2" s="4">
        <v>0</v>
      </c>
    </row>
    <row r="3" spans="1:18" ht="15.75" thickBot="1" x14ac:dyDescent="0.3">
      <c r="A3" s="1"/>
      <c r="B3" s="1"/>
      <c r="C3" s="1"/>
      <c r="D3" s="1"/>
      <c r="E3" s="1"/>
      <c r="F3" s="1"/>
      <c r="G3" s="1"/>
      <c r="I3" s="3" t="s">
        <v>30</v>
      </c>
      <c r="J3" s="6">
        <v>2.5</v>
      </c>
      <c r="L3" s="6">
        <v>10</v>
      </c>
    </row>
    <row r="4" spans="1:18" x14ac:dyDescent="0.25">
      <c r="A4" s="1"/>
      <c r="B4" s="1"/>
      <c r="C4" s="1"/>
      <c r="D4" s="1"/>
      <c r="E4" s="1"/>
      <c r="F4" s="1"/>
      <c r="G4" s="1"/>
      <c r="I4" s="5"/>
      <c r="J4" s="14"/>
      <c r="L4" s="14"/>
    </row>
    <row r="5" spans="1:18" x14ac:dyDescent="0.25">
      <c r="A5" s="1"/>
      <c r="B5" s="1"/>
      <c r="C5" s="1"/>
      <c r="D5" s="1"/>
      <c r="E5" s="1"/>
      <c r="F5" s="1"/>
      <c r="G5" s="1"/>
      <c r="I5" s="5"/>
      <c r="J5" t="s">
        <v>77</v>
      </c>
      <c r="K5">
        <v>188749</v>
      </c>
      <c r="L5" t="s">
        <v>79</v>
      </c>
    </row>
    <row r="6" spans="1:18" x14ac:dyDescent="0.25">
      <c r="A6" s="1"/>
      <c r="B6" s="1"/>
      <c r="C6" s="1"/>
      <c r="D6" s="1"/>
      <c r="E6" s="1"/>
      <c r="F6" s="1"/>
      <c r="G6" s="1"/>
      <c r="I6" s="5"/>
      <c r="J6" t="s">
        <v>78</v>
      </c>
      <c r="K6">
        <v>2</v>
      </c>
      <c r="L6" t="s">
        <v>79</v>
      </c>
    </row>
    <row r="7" spans="1:18" x14ac:dyDescent="0.25">
      <c r="A7" s="1"/>
      <c r="B7" s="1"/>
      <c r="C7" s="1"/>
      <c r="D7" s="1"/>
      <c r="E7" s="1"/>
      <c r="F7" s="1"/>
      <c r="G7" s="1"/>
      <c r="I7" s="5"/>
      <c r="J7" s="14"/>
      <c r="K7">
        <f>K5/K6</f>
        <v>94374.5</v>
      </c>
      <c r="L7" s="14"/>
    </row>
    <row r="8" spans="1:18" x14ac:dyDescent="0.25">
      <c r="A8" s="1"/>
      <c r="B8" s="1"/>
      <c r="C8" s="1"/>
      <c r="D8" s="1"/>
      <c r="E8" s="1"/>
      <c r="F8" s="1"/>
      <c r="G8" s="1"/>
      <c r="I8" s="5"/>
      <c r="J8" s="14"/>
      <c r="L8" s="14"/>
    </row>
    <row r="9" spans="1:18" x14ac:dyDescent="0.25">
      <c r="A9" s="1"/>
      <c r="B9" s="1"/>
      <c r="C9" s="1"/>
      <c r="D9" s="1"/>
      <c r="E9" s="1"/>
      <c r="F9" s="1"/>
      <c r="G9" s="1"/>
      <c r="I9" s="5"/>
      <c r="J9" t="s">
        <v>80</v>
      </c>
      <c r="K9">
        <f>K16*K2*K6/1000000</f>
        <v>1.5763787298987728E-2</v>
      </c>
      <c r="L9">
        <f>L16*J2/1000000</f>
        <v>6.2550000000000001E-3</v>
      </c>
      <c r="N9">
        <f>N16*J3*2/1000000</f>
        <v>2.4942337551452894E-3</v>
      </c>
      <c r="O9">
        <f>O16*J3/1000000</f>
        <v>2.5574999999999999E-3</v>
      </c>
      <c r="Q9">
        <f>Q16*L3*2/1000000</f>
        <v>5.0902270168435597E-3</v>
      </c>
      <c r="R9">
        <f>SUM(K9:Q9)</f>
        <v>3.2160748070976575E-2</v>
      </c>
    </row>
    <row r="10" spans="1:18" x14ac:dyDescent="0.25">
      <c r="A10" s="1"/>
      <c r="B10" s="1"/>
      <c r="C10" s="1"/>
      <c r="D10" s="1"/>
      <c r="E10" s="1"/>
      <c r="F10" s="1"/>
      <c r="G10" s="1"/>
      <c r="I10" s="5"/>
      <c r="R10">
        <f>R9*K7</f>
        <v>3035.1545188243786</v>
      </c>
    </row>
    <row r="11" spans="1:18" x14ac:dyDescent="0.25">
      <c r="A11" s="1"/>
      <c r="B11" s="1"/>
      <c r="C11" s="1"/>
      <c r="D11" s="1"/>
      <c r="E11" s="1"/>
      <c r="F11" s="1"/>
      <c r="G11" s="1"/>
      <c r="I11" s="5"/>
    </row>
    <row r="12" spans="1:18" x14ac:dyDescent="0.25">
      <c r="A12" s="1"/>
      <c r="B12" s="1"/>
      <c r="C12" s="1"/>
      <c r="D12" s="1"/>
      <c r="E12" s="1"/>
      <c r="F12" s="1"/>
      <c r="G12" s="1"/>
      <c r="I12" s="5"/>
    </row>
    <row r="13" spans="1:18" x14ac:dyDescent="0.25">
      <c r="A13" s="1"/>
      <c r="B13" s="1"/>
      <c r="C13" s="1"/>
      <c r="D13" s="1"/>
      <c r="E13" s="1"/>
      <c r="F13" s="1"/>
      <c r="G13" s="1"/>
      <c r="I13" s="5"/>
      <c r="J13" s="14"/>
      <c r="L13" s="14"/>
    </row>
    <row r="14" spans="1:18" x14ac:dyDescent="0.25">
      <c r="A14" s="1"/>
      <c r="B14" s="1"/>
      <c r="C14" s="1"/>
      <c r="D14" s="1"/>
      <c r="E14" s="1"/>
      <c r="F14" s="1"/>
      <c r="G14" s="1"/>
      <c r="I14" s="5"/>
      <c r="J14" s="14"/>
      <c r="K14" s="7" t="s">
        <v>73</v>
      </c>
      <c r="L14" s="7" t="s">
        <v>74</v>
      </c>
      <c r="M14" s="7"/>
      <c r="N14" s="7" t="s">
        <v>75</v>
      </c>
      <c r="O14" s="7" t="s">
        <v>74</v>
      </c>
      <c r="P14" s="7"/>
      <c r="Q14" s="7" t="s">
        <v>76</v>
      </c>
      <c r="R14" s="7"/>
    </row>
    <row r="15" spans="1:18" x14ac:dyDescent="0.25">
      <c r="A15" s="1"/>
      <c r="B15" s="1"/>
      <c r="C15" s="1"/>
      <c r="D15" s="1"/>
      <c r="E15" s="1"/>
      <c r="F15" s="1"/>
      <c r="G15" s="1"/>
      <c r="I15" s="5"/>
      <c r="J15" t="s">
        <v>71</v>
      </c>
      <c r="K15">
        <f>K21+K58+K95+K132+K169</f>
        <v>6568.2447079115536</v>
      </c>
      <c r="L15" s="14"/>
      <c r="N15">
        <f>N21+N58+N95+N132+N169</f>
        <v>2494.2337551452893</v>
      </c>
      <c r="Q15">
        <f>Q21+Q58+Q95+Q132+Q169</f>
        <v>1272.5567542108899</v>
      </c>
    </row>
    <row r="16" spans="1:18" x14ac:dyDescent="0.25">
      <c r="A16" s="1"/>
      <c r="B16" s="1"/>
      <c r="C16" s="1"/>
      <c r="D16" s="1"/>
      <c r="E16" s="1"/>
      <c r="F16" s="1"/>
      <c r="G16" s="1"/>
      <c r="J16" t="s">
        <v>81</v>
      </c>
      <c r="K16">
        <f>K15/5</f>
        <v>1313.6489415823107</v>
      </c>
      <c r="L16">
        <f>L21</f>
        <v>2502</v>
      </c>
      <c r="N16">
        <f>N15/5</f>
        <v>498.84675102905783</v>
      </c>
      <c r="O16">
        <f>O21</f>
        <v>1023</v>
      </c>
      <c r="Q16">
        <f>Q15/5</f>
        <v>254.51135084217799</v>
      </c>
    </row>
    <row r="17" spans="1:19" x14ac:dyDescent="0.25">
      <c r="A17" s="1"/>
      <c r="B17" s="1"/>
      <c r="C17" s="1"/>
      <c r="D17" s="1"/>
      <c r="E17" s="1"/>
      <c r="F17" s="1"/>
      <c r="G17" s="1"/>
    </row>
    <row r="18" spans="1:19" x14ac:dyDescent="0.25">
      <c r="A18" s="1"/>
      <c r="B18" s="1"/>
      <c r="C18" s="1"/>
      <c r="D18" s="1"/>
      <c r="E18" s="1"/>
      <c r="F18" s="1"/>
      <c r="G18" s="1"/>
      <c r="R18" s="9"/>
      <c r="S18" s="9"/>
    </row>
    <row r="19" spans="1:19" x14ac:dyDescent="0.25">
      <c r="A19" s="1" t="s">
        <v>11</v>
      </c>
      <c r="B19" s="1" t="s">
        <v>12</v>
      </c>
      <c r="C19" s="1" t="s">
        <v>9</v>
      </c>
      <c r="D19" s="1" t="s">
        <v>9</v>
      </c>
      <c r="E19" s="1" t="s">
        <v>9</v>
      </c>
      <c r="F19" s="1" t="s">
        <v>9</v>
      </c>
      <c r="G19" s="1" t="s">
        <v>9</v>
      </c>
      <c r="J19" s="8" t="s">
        <v>64</v>
      </c>
      <c r="K19" s="8"/>
      <c r="L19" s="8"/>
      <c r="M19" s="8" t="s">
        <v>65</v>
      </c>
      <c r="N19" s="8"/>
      <c r="O19" s="8"/>
      <c r="P19" s="8"/>
      <c r="Q19" s="8"/>
    </row>
    <row r="20" spans="1:19" ht="45" x14ac:dyDescent="0.25">
      <c r="A20" s="1" t="s">
        <v>13</v>
      </c>
      <c r="B20" s="1" t="s">
        <v>13</v>
      </c>
      <c r="C20" s="1" t="s">
        <v>14</v>
      </c>
      <c r="D20" s="1" t="s">
        <v>15</v>
      </c>
      <c r="E20" s="1" t="s">
        <v>16</v>
      </c>
      <c r="F20" s="1" t="s">
        <v>17</v>
      </c>
      <c r="G20" s="1" t="s">
        <v>18</v>
      </c>
      <c r="I20" t="s">
        <v>60</v>
      </c>
      <c r="J20" s="12" t="s">
        <v>62</v>
      </c>
      <c r="K20" s="13" t="s">
        <v>63</v>
      </c>
      <c r="L20" s="12" t="s">
        <v>72</v>
      </c>
      <c r="M20" s="12" t="s">
        <v>67</v>
      </c>
      <c r="N20" s="12" t="s">
        <v>68</v>
      </c>
      <c r="O20" s="12" t="s">
        <v>69</v>
      </c>
      <c r="P20" s="12" t="s">
        <v>59</v>
      </c>
      <c r="Q20" s="12" t="s">
        <v>70</v>
      </c>
    </row>
    <row r="21" spans="1:19" x14ac:dyDescent="0.25">
      <c r="A21" s="1" t="s">
        <v>13</v>
      </c>
      <c r="B21" s="1" t="s">
        <v>13</v>
      </c>
      <c r="C21" s="1">
        <v>1782</v>
      </c>
      <c r="D21" s="1">
        <v>1532</v>
      </c>
      <c r="E21" s="1">
        <v>250</v>
      </c>
      <c r="F21" s="1">
        <v>837</v>
      </c>
      <c r="G21" s="1">
        <v>695</v>
      </c>
      <c r="I21">
        <f>C36</f>
        <v>192</v>
      </c>
      <c r="J21">
        <f>_2025_07_28_13_44_28___stats[[#This Row],[Column7]]+G26+G31</f>
        <v>3833</v>
      </c>
      <c r="K21">
        <f>J21/(I21/60)</f>
        <v>1197.8125</v>
      </c>
      <c r="L21">
        <f>_2025_07_28_13_44_28___stats[[#This Row],[Column6]]+F26+F31</f>
        <v>2502</v>
      </c>
      <c r="M21">
        <f>(E51-C53)</f>
        <v>865</v>
      </c>
      <c r="N21">
        <f>M21/(I21/60)</f>
        <v>270.3125</v>
      </c>
      <c r="O21">
        <f>C53</f>
        <v>1023</v>
      </c>
      <c r="P21">
        <f>D51</f>
        <v>455</v>
      </c>
      <c r="Q21">
        <f>P21/(I21/60)</f>
        <v>142.1875</v>
      </c>
    </row>
    <row r="22" spans="1:19" x14ac:dyDescent="0.25">
      <c r="A22" s="1" t="s">
        <v>7</v>
      </c>
      <c r="B22" s="1" t="s">
        <v>8</v>
      </c>
      <c r="C22" s="1" t="s">
        <v>9</v>
      </c>
      <c r="D22" s="1" t="s">
        <v>9</v>
      </c>
      <c r="E22" s="1" t="s">
        <v>9</v>
      </c>
      <c r="F22" s="1" t="s">
        <v>9</v>
      </c>
      <c r="G22" s="1" t="s">
        <v>9</v>
      </c>
    </row>
    <row r="23" spans="1:19" x14ac:dyDescent="0.25">
      <c r="A23" s="1" t="s">
        <v>10</v>
      </c>
      <c r="B23" s="1" t="s">
        <v>19</v>
      </c>
      <c r="C23" s="1" t="s">
        <v>9</v>
      </c>
      <c r="D23" s="1" t="s">
        <v>9</v>
      </c>
      <c r="E23" s="1" t="s">
        <v>9</v>
      </c>
      <c r="F23" s="1" t="s">
        <v>9</v>
      </c>
      <c r="G23" s="1" t="s">
        <v>9</v>
      </c>
    </row>
    <row r="24" spans="1:19" x14ac:dyDescent="0.25">
      <c r="A24" s="1" t="s">
        <v>11</v>
      </c>
      <c r="B24" s="1" t="s">
        <v>20</v>
      </c>
      <c r="C24" s="1" t="s">
        <v>9</v>
      </c>
      <c r="D24" s="1" t="s">
        <v>9</v>
      </c>
      <c r="E24" s="1" t="s">
        <v>9</v>
      </c>
      <c r="F24" s="1" t="s">
        <v>9</v>
      </c>
      <c r="G24" s="1" t="s">
        <v>9</v>
      </c>
    </row>
    <row r="25" spans="1:19" x14ac:dyDescent="0.25">
      <c r="A25" s="1" t="s">
        <v>13</v>
      </c>
      <c r="B25" s="1" t="s">
        <v>13</v>
      </c>
      <c r="C25" s="1" t="s">
        <v>14</v>
      </c>
      <c r="D25" s="1" t="s">
        <v>15</v>
      </c>
      <c r="E25" s="1" t="s">
        <v>16</v>
      </c>
      <c r="F25" s="1" t="s">
        <v>17</v>
      </c>
      <c r="G25" s="1" t="s">
        <v>18</v>
      </c>
    </row>
    <row r="26" spans="1:19" x14ac:dyDescent="0.25">
      <c r="A26" s="1" t="s">
        <v>13</v>
      </c>
      <c r="B26" s="1" t="s">
        <v>13</v>
      </c>
      <c r="C26" s="1">
        <v>2423</v>
      </c>
      <c r="D26" s="1">
        <v>2275</v>
      </c>
      <c r="E26" s="1">
        <v>148</v>
      </c>
      <c r="F26" s="1">
        <v>839</v>
      </c>
      <c r="G26" s="1">
        <v>1436</v>
      </c>
    </row>
    <row r="27" spans="1:19" x14ac:dyDescent="0.25">
      <c r="A27" s="1" t="s">
        <v>7</v>
      </c>
      <c r="B27" s="1" t="s">
        <v>8</v>
      </c>
      <c r="C27" s="1" t="s">
        <v>9</v>
      </c>
      <c r="D27" s="1" t="s">
        <v>9</v>
      </c>
      <c r="E27" s="1" t="s">
        <v>9</v>
      </c>
      <c r="F27" s="1" t="s">
        <v>9</v>
      </c>
      <c r="G27" s="1" t="s">
        <v>9</v>
      </c>
    </row>
    <row r="28" spans="1:19" x14ac:dyDescent="0.25">
      <c r="A28" s="1" t="s">
        <v>10</v>
      </c>
      <c r="B28" s="1" t="s">
        <v>21</v>
      </c>
      <c r="C28" s="1" t="s">
        <v>9</v>
      </c>
      <c r="D28" s="1" t="s">
        <v>9</v>
      </c>
      <c r="E28" s="1" t="s">
        <v>9</v>
      </c>
      <c r="F28" s="1" t="s">
        <v>9</v>
      </c>
      <c r="G28" s="1" t="s">
        <v>9</v>
      </c>
    </row>
    <row r="29" spans="1:19" x14ac:dyDescent="0.25">
      <c r="A29" s="1" t="s">
        <v>11</v>
      </c>
      <c r="B29" s="1" t="s">
        <v>22</v>
      </c>
      <c r="C29" s="1" t="s">
        <v>9</v>
      </c>
      <c r="D29" s="1" t="s">
        <v>9</v>
      </c>
      <c r="E29" s="1" t="s">
        <v>9</v>
      </c>
      <c r="F29" s="1" t="s">
        <v>9</v>
      </c>
      <c r="G29" s="1" t="s">
        <v>9</v>
      </c>
    </row>
    <row r="30" spans="1:19" x14ac:dyDescent="0.25">
      <c r="A30" s="1" t="s">
        <v>13</v>
      </c>
      <c r="B30" s="1" t="s">
        <v>13</v>
      </c>
      <c r="C30" s="1" t="s">
        <v>14</v>
      </c>
      <c r="D30" s="1" t="s">
        <v>15</v>
      </c>
      <c r="E30" s="1" t="s">
        <v>16</v>
      </c>
      <c r="F30" s="1" t="s">
        <v>17</v>
      </c>
      <c r="G30" s="1" t="s">
        <v>18</v>
      </c>
    </row>
    <row r="31" spans="1:19" x14ac:dyDescent="0.25">
      <c r="A31" s="1" t="s">
        <v>13</v>
      </c>
      <c r="B31" s="1" t="s">
        <v>13</v>
      </c>
      <c r="C31" s="1">
        <v>2928</v>
      </c>
      <c r="D31" s="1">
        <v>2528</v>
      </c>
      <c r="E31" s="1">
        <v>400</v>
      </c>
      <c r="F31" s="1">
        <v>826</v>
      </c>
      <c r="G31" s="1">
        <v>1702</v>
      </c>
    </row>
    <row r="32" spans="1:19" x14ac:dyDescent="0.25">
      <c r="A32" s="1" t="s">
        <v>7</v>
      </c>
      <c r="B32" s="1" t="s">
        <v>23</v>
      </c>
      <c r="C32" s="1" t="s">
        <v>9</v>
      </c>
      <c r="D32" s="1" t="s">
        <v>9</v>
      </c>
      <c r="E32" s="1" t="s">
        <v>9</v>
      </c>
      <c r="F32" s="1" t="s">
        <v>9</v>
      </c>
      <c r="G32" s="1" t="s">
        <v>9</v>
      </c>
    </row>
    <row r="33" spans="1:7" x14ac:dyDescent="0.25">
      <c r="A33" s="1" t="s">
        <v>10</v>
      </c>
      <c r="B33" s="1" t="s">
        <v>24</v>
      </c>
      <c r="C33" s="1" t="s">
        <v>9</v>
      </c>
      <c r="D33" s="1" t="s">
        <v>9</v>
      </c>
      <c r="E33" s="1" t="s">
        <v>9</v>
      </c>
      <c r="F33" s="1" t="s">
        <v>9</v>
      </c>
      <c r="G33" s="1" t="s">
        <v>9</v>
      </c>
    </row>
    <row r="34" spans="1:7" x14ac:dyDescent="0.25">
      <c r="A34" s="1" t="s">
        <v>11</v>
      </c>
      <c r="B34" s="1" t="s">
        <v>25</v>
      </c>
      <c r="C34" s="1" t="s">
        <v>9</v>
      </c>
      <c r="D34" s="1" t="s">
        <v>9</v>
      </c>
      <c r="E34" s="1" t="s">
        <v>9</v>
      </c>
      <c r="F34" s="1" t="s">
        <v>9</v>
      </c>
      <c r="G34" s="1" t="s">
        <v>9</v>
      </c>
    </row>
    <row r="35" spans="1:7" x14ac:dyDescent="0.25">
      <c r="A35" s="1" t="s">
        <v>13</v>
      </c>
      <c r="B35" s="1" t="s">
        <v>13</v>
      </c>
      <c r="C35" s="1" t="s">
        <v>26</v>
      </c>
      <c r="D35" s="1" t="s">
        <v>9</v>
      </c>
      <c r="E35" s="1" t="s">
        <v>9</v>
      </c>
      <c r="F35" s="1" t="s">
        <v>9</v>
      </c>
      <c r="G35" s="1" t="s">
        <v>9</v>
      </c>
    </row>
    <row r="36" spans="1:7" x14ac:dyDescent="0.25">
      <c r="A36" s="1" t="s">
        <v>13</v>
      </c>
      <c r="B36" s="1" t="s">
        <v>13</v>
      </c>
      <c r="C36" s="1">
        <v>192</v>
      </c>
      <c r="D36" s="1"/>
      <c r="E36" s="1" t="s">
        <v>9</v>
      </c>
      <c r="F36" s="1" t="s">
        <v>9</v>
      </c>
      <c r="G36" s="1" t="s">
        <v>9</v>
      </c>
    </row>
    <row r="37" spans="1:7" x14ac:dyDescent="0.25">
      <c r="A37" s="1" t="s">
        <v>7</v>
      </c>
      <c r="B37" s="1" t="s">
        <v>23</v>
      </c>
      <c r="C37" s="1" t="s">
        <v>9</v>
      </c>
      <c r="D37" s="1" t="s">
        <v>9</v>
      </c>
      <c r="E37" s="1" t="s">
        <v>9</v>
      </c>
      <c r="F37" s="1" t="s">
        <v>9</v>
      </c>
      <c r="G37" s="1" t="s">
        <v>9</v>
      </c>
    </row>
    <row r="38" spans="1:7" x14ac:dyDescent="0.25">
      <c r="A38" s="1" t="s">
        <v>10</v>
      </c>
      <c r="B38" s="1" t="s">
        <v>24</v>
      </c>
      <c r="C38" s="1" t="s">
        <v>9</v>
      </c>
      <c r="D38" s="1" t="s">
        <v>9</v>
      </c>
      <c r="E38" s="1" t="s">
        <v>9</v>
      </c>
      <c r="F38" s="1" t="s">
        <v>9</v>
      </c>
      <c r="G38" s="1" t="s">
        <v>9</v>
      </c>
    </row>
    <row r="39" spans="1:7" x14ac:dyDescent="0.25">
      <c r="A39" s="1" t="s">
        <v>11</v>
      </c>
      <c r="B39" s="1" t="s">
        <v>27</v>
      </c>
      <c r="C39" s="1" t="s">
        <v>9</v>
      </c>
      <c r="D39" s="1" t="s">
        <v>9</v>
      </c>
      <c r="E39" s="1" t="s">
        <v>9</v>
      </c>
      <c r="F39" s="1" t="s">
        <v>9</v>
      </c>
      <c r="G39" s="1" t="s">
        <v>9</v>
      </c>
    </row>
    <row r="40" spans="1:7" x14ac:dyDescent="0.25">
      <c r="A40" s="1" t="s">
        <v>13</v>
      </c>
      <c r="B40" s="1" t="s">
        <v>13</v>
      </c>
      <c r="C40" s="1" t="s">
        <v>26</v>
      </c>
      <c r="D40" s="1" t="s">
        <v>9</v>
      </c>
      <c r="E40" s="1" t="s">
        <v>9</v>
      </c>
      <c r="F40" s="1" t="s">
        <v>9</v>
      </c>
      <c r="G40" s="1" t="s">
        <v>9</v>
      </c>
    </row>
    <row r="41" spans="1:7" x14ac:dyDescent="0.25">
      <c r="A41" s="1" t="s">
        <v>13</v>
      </c>
      <c r="B41" s="1" t="s">
        <v>13</v>
      </c>
      <c r="C41" s="1">
        <v>192</v>
      </c>
      <c r="D41" s="1"/>
      <c r="E41" s="1" t="s">
        <v>9</v>
      </c>
      <c r="F41" s="1" t="s">
        <v>9</v>
      </c>
      <c r="G41" s="1" t="s">
        <v>9</v>
      </c>
    </row>
    <row r="42" spans="1:7" x14ac:dyDescent="0.25">
      <c r="A42" s="1" t="s">
        <v>7</v>
      </c>
      <c r="B42" s="1" t="s">
        <v>23</v>
      </c>
      <c r="C42" s="1" t="s">
        <v>9</v>
      </c>
      <c r="D42" s="1" t="s">
        <v>9</v>
      </c>
      <c r="E42" s="1" t="s">
        <v>9</v>
      </c>
      <c r="F42" s="1" t="s">
        <v>9</v>
      </c>
      <c r="G42" s="1" t="s">
        <v>9</v>
      </c>
    </row>
    <row r="43" spans="1:7" x14ac:dyDescent="0.25">
      <c r="A43" s="1" t="s">
        <v>10</v>
      </c>
      <c r="B43" s="1" t="s">
        <v>24</v>
      </c>
      <c r="C43" s="1" t="s">
        <v>9</v>
      </c>
      <c r="D43" s="1" t="s">
        <v>9</v>
      </c>
      <c r="E43" s="1" t="s">
        <v>9</v>
      </c>
      <c r="F43" s="1" t="s">
        <v>9</v>
      </c>
      <c r="G43" s="1" t="s">
        <v>9</v>
      </c>
    </row>
    <row r="44" spans="1:7" x14ac:dyDescent="0.25">
      <c r="A44" s="1" t="s">
        <v>11</v>
      </c>
      <c r="B44" s="1" t="s">
        <v>28</v>
      </c>
      <c r="C44" s="1" t="s">
        <v>9</v>
      </c>
      <c r="D44" s="1" t="s">
        <v>9</v>
      </c>
      <c r="E44" s="1" t="s">
        <v>9</v>
      </c>
      <c r="F44" s="1" t="s">
        <v>9</v>
      </c>
      <c r="G44" s="1" t="s">
        <v>9</v>
      </c>
    </row>
    <row r="45" spans="1:7" x14ac:dyDescent="0.25">
      <c r="A45" s="1" t="s">
        <v>13</v>
      </c>
      <c r="B45" s="1" t="s">
        <v>13</v>
      </c>
      <c r="C45" s="1" t="s">
        <v>26</v>
      </c>
      <c r="D45" s="1" t="s">
        <v>9</v>
      </c>
      <c r="E45" s="1" t="s">
        <v>9</v>
      </c>
      <c r="F45" s="1" t="s">
        <v>9</v>
      </c>
      <c r="G45" s="1" t="s">
        <v>9</v>
      </c>
    </row>
    <row r="46" spans="1:7" x14ac:dyDescent="0.25">
      <c r="A46" s="1" t="s">
        <v>13</v>
      </c>
      <c r="B46" s="1" t="s">
        <v>13</v>
      </c>
      <c r="C46" s="1">
        <v>192</v>
      </c>
      <c r="D46" s="1"/>
      <c r="E46" s="1" t="s">
        <v>9</v>
      </c>
      <c r="F46" s="1" t="s">
        <v>9</v>
      </c>
      <c r="G46" s="1" t="s">
        <v>9</v>
      </c>
    </row>
    <row r="47" spans="1:7" x14ac:dyDescent="0.25">
      <c r="A47" s="1" t="s">
        <v>29</v>
      </c>
      <c r="B47" s="1" t="s">
        <v>30</v>
      </c>
      <c r="C47" s="1" t="s">
        <v>9</v>
      </c>
      <c r="D47" s="1" t="s">
        <v>9</v>
      </c>
      <c r="E47" s="1" t="s">
        <v>9</v>
      </c>
      <c r="F47" s="1" t="s">
        <v>9</v>
      </c>
      <c r="G47" s="1" t="s">
        <v>9</v>
      </c>
    </row>
    <row r="48" spans="1:7" x14ac:dyDescent="0.25">
      <c r="A48" s="1" t="s">
        <v>10</v>
      </c>
      <c r="B48" s="1" t="s">
        <v>31</v>
      </c>
      <c r="C48" s="1" t="s">
        <v>9</v>
      </c>
      <c r="D48" s="1" t="s">
        <v>9</v>
      </c>
      <c r="E48" s="1" t="s">
        <v>9</v>
      </c>
      <c r="F48" s="1" t="s">
        <v>9</v>
      </c>
      <c r="G48" s="1" t="s">
        <v>9</v>
      </c>
    </row>
    <row r="49" spans="1:17" x14ac:dyDescent="0.25">
      <c r="A49" s="1" t="s">
        <v>11</v>
      </c>
      <c r="B49" s="1" t="s">
        <v>32</v>
      </c>
      <c r="C49" s="1" t="s">
        <v>9</v>
      </c>
      <c r="D49" s="1" t="s">
        <v>9</v>
      </c>
      <c r="E49" s="1" t="s">
        <v>9</v>
      </c>
      <c r="F49" s="1" t="s">
        <v>9</v>
      </c>
      <c r="G49" s="1" t="s">
        <v>9</v>
      </c>
      <c r="J49" s="10"/>
      <c r="K49" s="10"/>
      <c r="L49" s="11"/>
    </row>
    <row r="50" spans="1:17" x14ac:dyDescent="0.25">
      <c r="A50" s="1" t="s">
        <v>13</v>
      </c>
      <c r="B50" s="1" t="s">
        <v>13</v>
      </c>
      <c r="C50" s="1" t="s">
        <v>14</v>
      </c>
      <c r="D50" s="1" t="s">
        <v>33</v>
      </c>
      <c r="E50" s="1" t="s">
        <v>34</v>
      </c>
      <c r="F50" s="1" t="s">
        <v>9</v>
      </c>
      <c r="G50" s="1" t="s">
        <v>9</v>
      </c>
      <c r="J50" s="11"/>
      <c r="K50" s="11"/>
      <c r="L50" s="11"/>
    </row>
    <row r="51" spans="1:17" x14ac:dyDescent="0.25">
      <c r="A51" s="1" t="s">
        <v>13</v>
      </c>
      <c r="B51" s="1" t="s">
        <v>13</v>
      </c>
      <c r="C51" s="1">
        <v>2343</v>
      </c>
      <c r="D51" s="1">
        <v>455</v>
      </c>
      <c r="E51" s="1">
        <v>1888</v>
      </c>
      <c r="F51" s="1"/>
      <c r="G51" s="1"/>
    </row>
    <row r="52" spans="1:17" x14ac:dyDescent="0.25">
      <c r="A52" s="1" t="s">
        <v>13</v>
      </c>
      <c r="B52" s="1" t="s">
        <v>13</v>
      </c>
      <c r="C52" s="1" t="s">
        <v>35</v>
      </c>
      <c r="D52" s="1" t="s">
        <v>9</v>
      </c>
      <c r="E52" s="1" t="s">
        <v>9</v>
      </c>
      <c r="F52" s="1" t="s">
        <v>9</v>
      </c>
      <c r="G52" s="1" t="s">
        <v>9</v>
      </c>
    </row>
    <row r="53" spans="1:17" x14ac:dyDescent="0.25">
      <c r="A53" s="1" t="s">
        <v>13</v>
      </c>
      <c r="B53" s="1" t="s">
        <v>13</v>
      </c>
      <c r="C53" s="1">
        <v>1023</v>
      </c>
      <c r="D53" s="1"/>
      <c r="E53" s="1" t="s">
        <v>9</v>
      </c>
      <c r="F53" s="1" t="s">
        <v>9</v>
      </c>
      <c r="G53" s="1" t="s">
        <v>9</v>
      </c>
    </row>
    <row r="54" spans="1:17" x14ac:dyDescent="0.25">
      <c r="A54" s="1" t="s">
        <v>7</v>
      </c>
      <c r="B54" s="1" t="s">
        <v>8</v>
      </c>
      <c r="C54" s="1" t="s">
        <v>9</v>
      </c>
      <c r="D54" s="1" t="s">
        <v>9</v>
      </c>
      <c r="E54" s="1" t="s">
        <v>9</v>
      </c>
      <c r="F54" s="1" t="s">
        <v>9</v>
      </c>
      <c r="G54" s="1" t="s">
        <v>9</v>
      </c>
    </row>
    <row r="55" spans="1:17" x14ac:dyDescent="0.25">
      <c r="A55" s="1" t="s">
        <v>10</v>
      </c>
      <c r="B55" s="1" t="s">
        <v>36</v>
      </c>
      <c r="C55" s="1" t="s">
        <v>9</v>
      </c>
      <c r="D55" s="1" t="s">
        <v>9</v>
      </c>
      <c r="E55" s="1" t="s">
        <v>9</v>
      </c>
      <c r="F55" s="1" t="s">
        <v>9</v>
      </c>
      <c r="G55" s="1" t="s">
        <v>9</v>
      </c>
    </row>
    <row r="56" spans="1:17" x14ac:dyDescent="0.25">
      <c r="A56" s="1" t="s">
        <v>11</v>
      </c>
      <c r="B56" s="1" t="s">
        <v>12</v>
      </c>
      <c r="C56" s="1" t="s">
        <v>9</v>
      </c>
      <c r="D56" s="1" t="s">
        <v>9</v>
      </c>
      <c r="E56" s="1" t="s">
        <v>9</v>
      </c>
      <c r="F56" s="1" t="s">
        <v>9</v>
      </c>
      <c r="G56" s="1" t="s">
        <v>9</v>
      </c>
      <c r="J56" s="8" t="s">
        <v>64</v>
      </c>
      <c r="K56" s="8"/>
      <c r="L56" s="8"/>
      <c r="M56" s="8" t="s">
        <v>65</v>
      </c>
      <c r="N56" s="8"/>
      <c r="O56" s="8"/>
      <c r="P56" s="8"/>
      <c r="Q56" s="8"/>
    </row>
    <row r="57" spans="1:17" ht="30" x14ac:dyDescent="0.25">
      <c r="A57" s="1" t="s">
        <v>13</v>
      </c>
      <c r="B57" s="1" t="s">
        <v>13</v>
      </c>
      <c r="C57" s="1" t="s">
        <v>14</v>
      </c>
      <c r="D57" s="1" t="s">
        <v>15</v>
      </c>
      <c r="E57" s="1" t="s">
        <v>16</v>
      </c>
      <c r="F57" s="1" t="s">
        <v>17</v>
      </c>
      <c r="G57" s="1" t="s">
        <v>18</v>
      </c>
      <c r="I57" t="s">
        <v>60</v>
      </c>
      <c r="J57" s="12" t="s">
        <v>62</v>
      </c>
      <c r="K57" s="13" t="s">
        <v>63</v>
      </c>
      <c r="L57" s="12" t="s">
        <v>66</v>
      </c>
      <c r="M57" s="12" t="s">
        <v>67</v>
      </c>
      <c r="N57" s="12" t="s">
        <v>68</v>
      </c>
      <c r="O57" s="12" t="s">
        <v>69</v>
      </c>
      <c r="P57" s="12" t="s">
        <v>59</v>
      </c>
      <c r="Q57" s="12" t="s">
        <v>70</v>
      </c>
    </row>
    <row r="58" spans="1:17" x14ac:dyDescent="0.25">
      <c r="A58" s="1" t="s">
        <v>13</v>
      </c>
      <c r="B58" s="1" t="s">
        <v>13</v>
      </c>
      <c r="C58" s="1">
        <v>2196</v>
      </c>
      <c r="D58" s="1">
        <v>1736</v>
      </c>
      <c r="E58" s="1">
        <v>460</v>
      </c>
      <c r="F58" s="1">
        <v>843</v>
      </c>
      <c r="G58" s="1">
        <v>893</v>
      </c>
      <c r="I58">
        <f>C73</f>
        <v>116</v>
      </c>
      <c r="J58">
        <f>_2025_07_28_13_44_28___stats[[#This Row],[Column7]]+G63+G68</f>
        <v>2629</v>
      </c>
      <c r="K58">
        <f>J58/(I58/60)</f>
        <v>1359.8275862068965</v>
      </c>
      <c r="L58">
        <f>_2025_07_28_13_44_28___stats[[#This Row],[Column6]]+F63+F68</f>
        <v>2520</v>
      </c>
      <c r="M58">
        <f>(E88-C90)</f>
        <v>1233</v>
      </c>
      <c r="N58">
        <f>M58/(I58/60)</f>
        <v>637.75862068965512</v>
      </c>
      <c r="O58">
        <f>C90</f>
        <v>1023</v>
      </c>
      <c r="P58">
        <f>D88</f>
        <v>617</v>
      </c>
      <c r="Q58">
        <f>P58/(I58/60)</f>
        <v>319.13793103448273</v>
      </c>
    </row>
    <row r="59" spans="1:17" x14ac:dyDescent="0.25">
      <c r="A59" s="1" t="s">
        <v>7</v>
      </c>
      <c r="B59" s="1" t="s">
        <v>8</v>
      </c>
      <c r="C59" s="1" t="s">
        <v>9</v>
      </c>
      <c r="D59" s="1" t="s">
        <v>9</v>
      </c>
      <c r="E59" s="1" t="s">
        <v>9</v>
      </c>
      <c r="F59" s="1" t="s">
        <v>9</v>
      </c>
      <c r="G59" s="1" t="s">
        <v>9</v>
      </c>
    </row>
    <row r="60" spans="1:17" x14ac:dyDescent="0.25">
      <c r="A60" s="1" t="s">
        <v>10</v>
      </c>
      <c r="B60" s="1" t="s">
        <v>37</v>
      </c>
      <c r="C60" s="1" t="s">
        <v>9</v>
      </c>
      <c r="D60" s="1" t="s">
        <v>9</v>
      </c>
      <c r="E60" s="1" t="s">
        <v>9</v>
      </c>
      <c r="F60" s="1" t="s">
        <v>9</v>
      </c>
      <c r="G60" s="1" t="s">
        <v>9</v>
      </c>
    </row>
    <row r="61" spans="1:17" x14ac:dyDescent="0.25">
      <c r="A61" s="1" t="s">
        <v>11</v>
      </c>
      <c r="B61" s="1" t="s">
        <v>20</v>
      </c>
      <c r="C61" s="1" t="s">
        <v>9</v>
      </c>
      <c r="D61" s="1" t="s">
        <v>9</v>
      </c>
      <c r="E61" s="1" t="s">
        <v>9</v>
      </c>
      <c r="F61" s="1" t="s">
        <v>9</v>
      </c>
      <c r="G61" s="1" t="s">
        <v>9</v>
      </c>
    </row>
    <row r="62" spans="1:17" x14ac:dyDescent="0.25">
      <c r="A62" s="1" t="s">
        <v>13</v>
      </c>
      <c r="B62" s="1" t="s">
        <v>13</v>
      </c>
      <c r="C62" s="1" t="s">
        <v>14</v>
      </c>
      <c r="D62" s="1" t="s">
        <v>15</v>
      </c>
      <c r="E62" s="1" t="s">
        <v>16</v>
      </c>
      <c r="F62" s="1" t="s">
        <v>17</v>
      </c>
      <c r="G62" s="1" t="s">
        <v>18</v>
      </c>
    </row>
    <row r="63" spans="1:17" x14ac:dyDescent="0.25">
      <c r="A63" s="1" t="s">
        <v>13</v>
      </c>
      <c r="B63" s="1" t="s">
        <v>13</v>
      </c>
      <c r="C63" s="1">
        <v>1571</v>
      </c>
      <c r="D63" s="1">
        <v>1454</v>
      </c>
      <c r="E63" s="1">
        <v>117</v>
      </c>
      <c r="F63" s="1">
        <v>845</v>
      </c>
      <c r="G63" s="1">
        <v>609</v>
      </c>
    </row>
    <row r="64" spans="1:17" x14ac:dyDescent="0.25">
      <c r="A64" s="1" t="s">
        <v>7</v>
      </c>
      <c r="B64" s="1" t="s">
        <v>8</v>
      </c>
      <c r="C64" s="1" t="s">
        <v>9</v>
      </c>
      <c r="D64" s="1" t="s">
        <v>9</v>
      </c>
      <c r="E64" s="1" t="s">
        <v>9</v>
      </c>
      <c r="F64" s="1" t="s">
        <v>9</v>
      </c>
      <c r="G64" s="1" t="s">
        <v>9</v>
      </c>
    </row>
    <row r="65" spans="1:7" x14ac:dyDescent="0.25">
      <c r="A65" s="1" t="s">
        <v>10</v>
      </c>
      <c r="B65" s="1" t="s">
        <v>38</v>
      </c>
      <c r="C65" s="1" t="s">
        <v>9</v>
      </c>
      <c r="D65" s="1" t="s">
        <v>9</v>
      </c>
      <c r="E65" s="1" t="s">
        <v>9</v>
      </c>
      <c r="F65" s="1" t="s">
        <v>9</v>
      </c>
      <c r="G65" s="1" t="s">
        <v>9</v>
      </c>
    </row>
    <row r="66" spans="1:7" x14ac:dyDescent="0.25">
      <c r="A66" s="1" t="s">
        <v>11</v>
      </c>
      <c r="B66" s="1" t="s">
        <v>22</v>
      </c>
      <c r="C66" s="1" t="s">
        <v>9</v>
      </c>
      <c r="D66" s="1" t="s">
        <v>9</v>
      </c>
      <c r="E66" s="1" t="s">
        <v>9</v>
      </c>
      <c r="F66" s="1" t="s">
        <v>9</v>
      </c>
      <c r="G66" s="1" t="s">
        <v>9</v>
      </c>
    </row>
    <row r="67" spans="1:7" x14ac:dyDescent="0.25">
      <c r="A67" s="1" t="s">
        <v>13</v>
      </c>
      <c r="B67" s="1" t="s">
        <v>13</v>
      </c>
      <c r="C67" s="1" t="s">
        <v>14</v>
      </c>
      <c r="D67" s="1" t="s">
        <v>15</v>
      </c>
      <c r="E67" s="1" t="s">
        <v>16</v>
      </c>
      <c r="F67" s="1" t="s">
        <v>17</v>
      </c>
      <c r="G67" s="1" t="s">
        <v>18</v>
      </c>
    </row>
    <row r="68" spans="1:7" x14ac:dyDescent="0.25">
      <c r="A68" s="1" t="s">
        <v>13</v>
      </c>
      <c r="B68" s="1" t="s">
        <v>13</v>
      </c>
      <c r="C68" s="1">
        <v>2528</v>
      </c>
      <c r="D68" s="1">
        <v>1959</v>
      </c>
      <c r="E68" s="1">
        <v>569</v>
      </c>
      <c r="F68" s="1">
        <v>832</v>
      </c>
      <c r="G68" s="1">
        <v>1127</v>
      </c>
    </row>
    <row r="69" spans="1:7" x14ac:dyDescent="0.25">
      <c r="A69" s="1" t="s">
        <v>7</v>
      </c>
      <c r="B69" s="1" t="s">
        <v>23</v>
      </c>
      <c r="C69" s="1" t="s">
        <v>9</v>
      </c>
      <c r="D69" s="1" t="s">
        <v>9</v>
      </c>
      <c r="E69" s="1" t="s">
        <v>9</v>
      </c>
      <c r="F69" s="1" t="s">
        <v>9</v>
      </c>
      <c r="G69" s="1" t="s">
        <v>9</v>
      </c>
    </row>
    <row r="70" spans="1:7" x14ac:dyDescent="0.25">
      <c r="A70" s="1" t="s">
        <v>10</v>
      </c>
      <c r="B70" s="1" t="s">
        <v>39</v>
      </c>
      <c r="C70" s="1" t="s">
        <v>9</v>
      </c>
      <c r="D70" s="1" t="s">
        <v>9</v>
      </c>
      <c r="E70" s="1" t="s">
        <v>9</v>
      </c>
      <c r="F70" s="1" t="s">
        <v>9</v>
      </c>
      <c r="G70" s="1" t="s">
        <v>9</v>
      </c>
    </row>
    <row r="71" spans="1:7" x14ac:dyDescent="0.25">
      <c r="A71" s="1" t="s">
        <v>11</v>
      </c>
      <c r="B71" s="1" t="s">
        <v>25</v>
      </c>
      <c r="C71" s="1" t="s">
        <v>9</v>
      </c>
      <c r="D71" s="1" t="s">
        <v>9</v>
      </c>
      <c r="E71" s="1" t="s">
        <v>9</v>
      </c>
      <c r="F71" s="1" t="s">
        <v>9</v>
      </c>
      <c r="G71" s="1" t="s">
        <v>9</v>
      </c>
    </row>
    <row r="72" spans="1:7" x14ac:dyDescent="0.25">
      <c r="A72" s="1" t="s">
        <v>13</v>
      </c>
      <c r="B72" s="1" t="s">
        <v>13</v>
      </c>
      <c r="C72" s="1" t="s">
        <v>26</v>
      </c>
      <c r="D72" s="1" t="s">
        <v>9</v>
      </c>
      <c r="E72" s="1" t="s">
        <v>9</v>
      </c>
      <c r="F72" s="1" t="s">
        <v>9</v>
      </c>
      <c r="G72" s="1" t="s">
        <v>9</v>
      </c>
    </row>
    <row r="73" spans="1:7" x14ac:dyDescent="0.25">
      <c r="A73" s="1" t="s">
        <v>13</v>
      </c>
      <c r="B73" s="1" t="s">
        <v>13</v>
      </c>
      <c r="C73" s="1">
        <v>116</v>
      </c>
      <c r="D73" s="1"/>
      <c r="E73" s="1" t="s">
        <v>9</v>
      </c>
      <c r="F73" s="1" t="s">
        <v>9</v>
      </c>
      <c r="G73" s="1" t="s">
        <v>9</v>
      </c>
    </row>
    <row r="74" spans="1:7" x14ac:dyDescent="0.25">
      <c r="A74" s="1" t="s">
        <v>7</v>
      </c>
      <c r="B74" s="1" t="s">
        <v>23</v>
      </c>
      <c r="C74" s="1" t="s">
        <v>9</v>
      </c>
      <c r="D74" s="1" t="s">
        <v>9</v>
      </c>
      <c r="E74" s="1" t="s">
        <v>9</v>
      </c>
      <c r="F74" s="1" t="s">
        <v>9</v>
      </c>
      <c r="G74" s="1" t="s">
        <v>9</v>
      </c>
    </row>
    <row r="75" spans="1:7" x14ac:dyDescent="0.25">
      <c r="A75" s="1" t="s">
        <v>10</v>
      </c>
      <c r="B75" s="1" t="s">
        <v>39</v>
      </c>
      <c r="C75" s="1" t="s">
        <v>9</v>
      </c>
      <c r="D75" s="1" t="s">
        <v>9</v>
      </c>
      <c r="E75" s="1" t="s">
        <v>9</v>
      </c>
      <c r="F75" s="1" t="s">
        <v>9</v>
      </c>
      <c r="G75" s="1" t="s">
        <v>9</v>
      </c>
    </row>
    <row r="76" spans="1:7" x14ac:dyDescent="0.25">
      <c r="A76" s="1" t="s">
        <v>11</v>
      </c>
      <c r="B76" s="1" t="s">
        <v>27</v>
      </c>
      <c r="C76" s="1" t="s">
        <v>9</v>
      </c>
      <c r="D76" s="1" t="s">
        <v>9</v>
      </c>
      <c r="E76" s="1" t="s">
        <v>9</v>
      </c>
      <c r="F76" s="1" t="s">
        <v>9</v>
      </c>
      <c r="G76" s="1" t="s">
        <v>9</v>
      </c>
    </row>
    <row r="77" spans="1:7" x14ac:dyDescent="0.25">
      <c r="A77" s="1" t="s">
        <v>13</v>
      </c>
      <c r="B77" s="1" t="s">
        <v>13</v>
      </c>
      <c r="C77" s="1" t="s">
        <v>26</v>
      </c>
      <c r="D77" s="1" t="s">
        <v>9</v>
      </c>
      <c r="E77" s="1" t="s">
        <v>9</v>
      </c>
      <c r="F77" s="1" t="s">
        <v>9</v>
      </c>
      <c r="G77" s="1" t="s">
        <v>9</v>
      </c>
    </row>
    <row r="78" spans="1:7" x14ac:dyDescent="0.25">
      <c r="A78" s="1" t="s">
        <v>13</v>
      </c>
      <c r="B78" s="1" t="s">
        <v>13</v>
      </c>
      <c r="C78" s="1">
        <v>116</v>
      </c>
      <c r="D78" s="1"/>
      <c r="E78" s="1" t="s">
        <v>9</v>
      </c>
      <c r="F78" s="1" t="s">
        <v>9</v>
      </c>
      <c r="G78" s="1" t="s">
        <v>9</v>
      </c>
    </row>
    <row r="79" spans="1:7" x14ac:dyDescent="0.25">
      <c r="A79" s="1" t="s">
        <v>7</v>
      </c>
      <c r="B79" s="1" t="s">
        <v>23</v>
      </c>
      <c r="C79" s="1" t="s">
        <v>9</v>
      </c>
      <c r="D79" s="1" t="s">
        <v>9</v>
      </c>
      <c r="E79" s="1" t="s">
        <v>9</v>
      </c>
      <c r="F79" s="1" t="s">
        <v>9</v>
      </c>
      <c r="G79" s="1" t="s">
        <v>9</v>
      </c>
    </row>
    <row r="80" spans="1:7" x14ac:dyDescent="0.25">
      <c r="A80" s="1" t="s">
        <v>10</v>
      </c>
      <c r="B80" s="1" t="s">
        <v>39</v>
      </c>
      <c r="C80" s="1" t="s">
        <v>9</v>
      </c>
      <c r="D80" s="1" t="s">
        <v>9</v>
      </c>
      <c r="E80" s="1" t="s">
        <v>9</v>
      </c>
      <c r="F80" s="1" t="s">
        <v>9</v>
      </c>
      <c r="G80" s="1" t="s">
        <v>9</v>
      </c>
    </row>
    <row r="81" spans="1:17" x14ac:dyDescent="0.25">
      <c r="A81" s="1" t="s">
        <v>11</v>
      </c>
      <c r="B81" s="1" t="s">
        <v>28</v>
      </c>
      <c r="C81" s="1" t="s">
        <v>9</v>
      </c>
      <c r="D81" s="1" t="s">
        <v>9</v>
      </c>
      <c r="E81" s="1" t="s">
        <v>9</v>
      </c>
      <c r="F81" s="1" t="s">
        <v>9</v>
      </c>
      <c r="G81" s="1" t="s">
        <v>9</v>
      </c>
    </row>
    <row r="82" spans="1:17" x14ac:dyDescent="0.25">
      <c r="A82" s="1" t="s">
        <v>13</v>
      </c>
      <c r="B82" s="1" t="s">
        <v>13</v>
      </c>
      <c r="C82" s="1" t="s">
        <v>26</v>
      </c>
      <c r="D82" s="1" t="s">
        <v>9</v>
      </c>
      <c r="E82" s="1" t="s">
        <v>9</v>
      </c>
      <c r="F82" s="1" t="s">
        <v>9</v>
      </c>
      <c r="G82" s="1" t="s">
        <v>9</v>
      </c>
    </row>
    <row r="83" spans="1:17" x14ac:dyDescent="0.25">
      <c r="A83" s="1" t="s">
        <v>13</v>
      </c>
      <c r="B83" s="1" t="s">
        <v>13</v>
      </c>
      <c r="C83" s="1">
        <v>116</v>
      </c>
      <c r="D83" s="1" t="s">
        <v>9</v>
      </c>
      <c r="E83" s="1" t="s">
        <v>9</v>
      </c>
      <c r="F83" s="1" t="s">
        <v>9</v>
      </c>
      <c r="G83" s="1" t="s">
        <v>9</v>
      </c>
    </row>
    <row r="84" spans="1:17" x14ac:dyDescent="0.25">
      <c r="A84" s="1" t="s">
        <v>29</v>
      </c>
      <c r="B84" s="1" t="s">
        <v>30</v>
      </c>
      <c r="C84" s="1" t="s">
        <v>9</v>
      </c>
      <c r="D84" s="1" t="s">
        <v>9</v>
      </c>
      <c r="E84" s="1" t="s">
        <v>9</v>
      </c>
      <c r="F84" s="1" t="s">
        <v>9</v>
      </c>
      <c r="G84" s="1" t="s">
        <v>9</v>
      </c>
    </row>
    <row r="85" spans="1:17" x14ac:dyDescent="0.25">
      <c r="A85" s="1" t="s">
        <v>10</v>
      </c>
      <c r="B85" s="1" t="s">
        <v>40</v>
      </c>
      <c r="C85" s="1" t="s">
        <v>9</v>
      </c>
      <c r="D85" s="1" t="s">
        <v>9</v>
      </c>
      <c r="E85" s="1" t="s">
        <v>9</v>
      </c>
      <c r="F85" s="1" t="s">
        <v>9</v>
      </c>
      <c r="G85" s="1" t="s">
        <v>9</v>
      </c>
    </row>
    <row r="86" spans="1:17" x14ac:dyDescent="0.25">
      <c r="A86" s="1" t="s">
        <v>11</v>
      </c>
      <c r="B86" s="1" t="s">
        <v>32</v>
      </c>
      <c r="C86" s="1" t="s">
        <v>9</v>
      </c>
      <c r="D86" s="1" t="s">
        <v>9</v>
      </c>
      <c r="E86" s="1" t="s">
        <v>9</v>
      </c>
      <c r="F86" s="1" t="s">
        <v>9</v>
      </c>
      <c r="G86" s="1" t="s">
        <v>9</v>
      </c>
    </row>
    <row r="87" spans="1:17" x14ac:dyDescent="0.25">
      <c r="A87" s="1" t="s">
        <v>13</v>
      </c>
      <c r="B87" s="1" t="s">
        <v>13</v>
      </c>
      <c r="C87" s="1" t="s">
        <v>14</v>
      </c>
      <c r="D87" s="1" t="s">
        <v>33</v>
      </c>
      <c r="E87" s="1" t="s">
        <v>34</v>
      </c>
      <c r="F87" s="1" t="s">
        <v>9</v>
      </c>
      <c r="G87" s="1" t="s">
        <v>9</v>
      </c>
    </row>
    <row r="88" spans="1:17" x14ac:dyDescent="0.25">
      <c r="A88" s="1" t="s">
        <v>13</v>
      </c>
      <c r="B88" s="1" t="s">
        <v>13</v>
      </c>
      <c r="C88" s="1">
        <v>2873</v>
      </c>
      <c r="D88" s="1">
        <v>617</v>
      </c>
      <c r="E88" s="1">
        <v>2256</v>
      </c>
      <c r="F88" s="1"/>
      <c r="G88" s="1"/>
    </row>
    <row r="89" spans="1:17" x14ac:dyDescent="0.25">
      <c r="A89" s="1" t="s">
        <v>13</v>
      </c>
      <c r="B89" s="1" t="s">
        <v>13</v>
      </c>
      <c r="C89" s="1" t="s">
        <v>35</v>
      </c>
      <c r="D89" s="1" t="s">
        <v>9</v>
      </c>
      <c r="E89" s="1" t="s">
        <v>9</v>
      </c>
      <c r="F89" s="1" t="s">
        <v>9</v>
      </c>
      <c r="G89" s="1" t="s">
        <v>9</v>
      </c>
    </row>
    <row r="90" spans="1:17" x14ac:dyDescent="0.25">
      <c r="A90" s="1" t="s">
        <v>13</v>
      </c>
      <c r="B90" s="1" t="s">
        <v>13</v>
      </c>
      <c r="C90" s="1">
        <v>1023</v>
      </c>
      <c r="D90" s="1"/>
      <c r="E90" s="1" t="s">
        <v>9</v>
      </c>
      <c r="F90" s="1" t="s">
        <v>9</v>
      </c>
      <c r="G90" s="1" t="s">
        <v>9</v>
      </c>
    </row>
    <row r="91" spans="1:17" x14ac:dyDescent="0.25">
      <c r="A91" s="1" t="s">
        <v>7</v>
      </c>
      <c r="B91" s="1" t="s">
        <v>8</v>
      </c>
      <c r="C91" s="1" t="s">
        <v>9</v>
      </c>
      <c r="D91" s="1" t="s">
        <v>9</v>
      </c>
      <c r="E91" s="1" t="s">
        <v>9</v>
      </c>
      <c r="F91" s="1" t="s">
        <v>9</v>
      </c>
      <c r="G91" s="1" t="s">
        <v>9</v>
      </c>
    </row>
    <row r="92" spans="1:17" x14ac:dyDescent="0.25">
      <c r="A92" s="1" t="s">
        <v>10</v>
      </c>
      <c r="B92" s="1" t="s">
        <v>41</v>
      </c>
      <c r="C92" s="1" t="s">
        <v>9</v>
      </c>
      <c r="D92" s="1" t="s">
        <v>9</v>
      </c>
      <c r="E92" s="1" t="s">
        <v>9</v>
      </c>
      <c r="F92" s="1" t="s">
        <v>9</v>
      </c>
      <c r="G92" s="1" t="s">
        <v>9</v>
      </c>
    </row>
    <row r="93" spans="1:17" x14ac:dyDescent="0.25">
      <c r="A93" s="1" t="s">
        <v>11</v>
      </c>
      <c r="B93" s="1" t="s">
        <v>12</v>
      </c>
      <c r="C93" s="1" t="s">
        <v>9</v>
      </c>
      <c r="D93" s="1" t="s">
        <v>9</v>
      </c>
      <c r="E93" s="1" t="s">
        <v>9</v>
      </c>
      <c r="F93" s="1" t="s">
        <v>9</v>
      </c>
      <c r="G93" s="1" t="s">
        <v>9</v>
      </c>
      <c r="J93" s="8" t="s">
        <v>64</v>
      </c>
      <c r="K93" s="8"/>
      <c r="L93" s="8"/>
      <c r="M93" s="8" t="s">
        <v>65</v>
      </c>
      <c r="N93" s="8"/>
      <c r="O93" s="8"/>
      <c r="P93" s="8"/>
      <c r="Q93" s="8"/>
    </row>
    <row r="94" spans="1:17" ht="30" x14ac:dyDescent="0.25">
      <c r="A94" s="1" t="s">
        <v>13</v>
      </c>
      <c r="B94" s="1" t="s">
        <v>13</v>
      </c>
      <c r="C94" s="1" t="s">
        <v>14</v>
      </c>
      <c r="D94" s="1" t="s">
        <v>15</v>
      </c>
      <c r="E94" s="1" t="s">
        <v>16</v>
      </c>
      <c r="F94" s="1" t="s">
        <v>17</v>
      </c>
      <c r="G94" s="1" t="s">
        <v>18</v>
      </c>
      <c r="I94" t="s">
        <v>60</v>
      </c>
      <c r="J94" s="12" t="s">
        <v>62</v>
      </c>
      <c r="K94" s="13" t="s">
        <v>63</v>
      </c>
      <c r="L94" s="12" t="s">
        <v>66</v>
      </c>
      <c r="M94" s="12" t="s">
        <v>67</v>
      </c>
      <c r="N94" s="12" t="s">
        <v>68</v>
      </c>
      <c r="O94" s="12" t="s">
        <v>69</v>
      </c>
      <c r="P94" s="12" t="s">
        <v>59</v>
      </c>
      <c r="Q94" s="12" t="s">
        <v>70</v>
      </c>
    </row>
    <row r="95" spans="1:17" x14ac:dyDescent="0.25">
      <c r="A95" s="1" t="s">
        <v>13</v>
      </c>
      <c r="B95" s="1" t="s">
        <v>13</v>
      </c>
      <c r="C95" s="1">
        <v>2029</v>
      </c>
      <c r="D95" s="1">
        <v>1724</v>
      </c>
      <c r="E95" s="1">
        <v>305</v>
      </c>
      <c r="F95" s="1">
        <v>754</v>
      </c>
      <c r="G95" s="1">
        <v>970</v>
      </c>
      <c r="I95">
        <f>C110</f>
        <v>137</v>
      </c>
      <c r="J95">
        <f>_2025_07_28_13_44_28___stats[[#This Row],[Column7]]+G100+G105</f>
        <v>3526</v>
      </c>
      <c r="K95">
        <f>J95/(I95/60)</f>
        <v>1544.2335766423359</v>
      </c>
      <c r="L95">
        <f>_2025_07_28_13_44_28___stats[[#This Row],[Column6]]+F100+F105</f>
        <v>2253</v>
      </c>
      <c r="M95">
        <f>(E125-C127)</f>
        <v>1419</v>
      </c>
      <c r="N95">
        <f>M95/(I95/60)</f>
        <v>621.45985401459859</v>
      </c>
      <c r="O95">
        <f>C127</f>
        <v>1023</v>
      </c>
      <c r="P95">
        <f>D125</f>
        <v>679</v>
      </c>
      <c r="Q95">
        <f>P95/(I95/60)</f>
        <v>297.37226277372264</v>
      </c>
    </row>
    <row r="96" spans="1:17" x14ac:dyDescent="0.25">
      <c r="A96" s="1" t="s">
        <v>7</v>
      </c>
      <c r="B96" s="1" t="s">
        <v>8</v>
      </c>
      <c r="C96" s="1" t="s">
        <v>9</v>
      </c>
      <c r="D96" s="1" t="s">
        <v>9</v>
      </c>
      <c r="E96" s="1" t="s">
        <v>9</v>
      </c>
      <c r="F96" s="1" t="s">
        <v>9</v>
      </c>
      <c r="G96" s="1" t="s">
        <v>9</v>
      </c>
    </row>
    <row r="97" spans="1:7" x14ac:dyDescent="0.25">
      <c r="A97" s="1" t="s">
        <v>10</v>
      </c>
      <c r="B97" s="1" t="s">
        <v>42</v>
      </c>
      <c r="C97" s="1" t="s">
        <v>9</v>
      </c>
      <c r="D97" s="1" t="s">
        <v>9</v>
      </c>
      <c r="E97" s="1" t="s">
        <v>9</v>
      </c>
      <c r="F97" s="1" t="s">
        <v>9</v>
      </c>
      <c r="G97" s="1" t="s">
        <v>9</v>
      </c>
    </row>
    <row r="98" spans="1:7" x14ac:dyDescent="0.25">
      <c r="A98" s="1" t="s">
        <v>11</v>
      </c>
      <c r="B98" s="1" t="s">
        <v>20</v>
      </c>
      <c r="C98" s="1" t="s">
        <v>9</v>
      </c>
      <c r="D98" s="1" t="s">
        <v>9</v>
      </c>
      <c r="E98" s="1" t="s">
        <v>9</v>
      </c>
      <c r="F98" s="1" t="s">
        <v>9</v>
      </c>
      <c r="G98" s="1" t="s">
        <v>9</v>
      </c>
    </row>
    <row r="99" spans="1:7" x14ac:dyDescent="0.25">
      <c r="A99" s="1" t="s">
        <v>13</v>
      </c>
      <c r="B99" s="1" t="s">
        <v>13</v>
      </c>
      <c r="C99" s="1" t="s">
        <v>14</v>
      </c>
      <c r="D99" s="1" t="s">
        <v>15</v>
      </c>
      <c r="E99" s="1" t="s">
        <v>16</v>
      </c>
      <c r="F99" s="1" t="s">
        <v>17</v>
      </c>
      <c r="G99" s="1" t="s">
        <v>18</v>
      </c>
    </row>
    <row r="100" spans="1:7" x14ac:dyDescent="0.25">
      <c r="A100" s="1" t="s">
        <v>13</v>
      </c>
      <c r="B100" s="1" t="s">
        <v>13</v>
      </c>
      <c r="C100" s="1">
        <v>2354</v>
      </c>
      <c r="D100" s="1">
        <v>1951</v>
      </c>
      <c r="E100" s="1">
        <v>403</v>
      </c>
      <c r="F100" s="1">
        <v>756</v>
      </c>
      <c r="G100" s="1">
        <v>1195</v>
      </c>
    </row>
    <row r="101" spans="1:7" x14ac:dyDescent="0.25">
      <c r="A101" s="1" t="s">
        <v>7</v>
      </c>
      <c r="B101" s="1" t="s">
        <v>8</v>
      </c>
      <c r="C101" s="1" t="s">
        <v>9</v>
      </c>
      <c r="D101" s="1" t="s">
        <v>9</v>
      </c>
      <c r="E101" s="1" t="s">
        <v>9</v>
      </c>
      <c r="F101" s="1" t="s">
        <v>9</v>
      </c>
      <c r="G101" s="1" t="s">
        <v>9</v>
      </c>
    </row>
    <row r="102" spans="1:7" x14ac:dyDescent="0.25">
      <c r="A102" s="1" t="s">
        <v>10</v>
      </c>
      <c r="B102" s="1" t="s">
        <v>43</v>
      </c>
      <c r="C102" s="1" t="s">
        <v>9</v>
      </c>
      <c r="D102" s="1" t="s">
        <v>9</v>
      </c>
      <c r="E102" s="1" t="s">
        <v>9</v>
      </c>
      <c r="F102" s="1" t="s">
        <v>9</v>
      </c>
      <c r="G102" s="1" t="s">
        <v>9</v>
      </c>
    </row>
    <row r="103" spans="1:7" x14ac:dyDescent="0.25">
      <c r="A103" s="1" t="s">
        <v>11</v>
      </c>
      <c r="B103" s="1" t="s">
        <v>22</v>
      </c>
      <c r="C103" s="1" t="s">
        <v>9</v>
      </c>
      <c r="D103" s="1" t="s">
        <v>9</v>
      </c>
      <c r="E103" s="1" t="s">
        <v>9</v>
      </c>
      <c r="F103" s="1" t="s">
        <v>9</v>
      </c>
      <c r="G103" s="1" t="s">
        <v>9</v>
      </c>
    </row>
    <row r="104" spans="1:7" x14ac:dyDescent="0.25">
      <c r="A104" s="1" t="s">
        <v>13</v>
      </c>
      <c r="B104" s="1" t="s">
        <v>13</v>
      </c>
      <c r="C104" s="1" t="s">
        <v>14</v>
      </c>
      <c r="D104" s="1" t="s">
        <v>15</v>
      </c>
      <c r="E104" s="1" t="s">
        <v>16</v>
      </c>
      <c r="F104" s="1" t="s">
        <v>17</v>
      </c>
      <c r="G104" s="1" t="s">
        <v>18</v>
      </c>
    </row>
    <row r="105" spans="1:7" x14ac:dyDescent="0.25">
      <c r="A105" s="1" t="s">
        <v>13</v>
      </c>
      <c r="B105" s="1" t="s">
        <v>13</v>
      </c>
      <c r="C105" s="1">
        <v>2702</v>
      </c>
      <c r="D105" s="1">
        <v>2104</v>
      </c>
      <c r="E105" s="1">
        <v>598</v>
      </c>
      <c r="F105" s="1">
        <v>743</v>
      </c>
      <c r="G105" s="1">
        <v>1361</v>
      </c>
    </row>
    <row r="106" spans="1:7" x14ac:dyDescent="0.25">
      <c r="A106" s="1" t="s">
        <v>7</v>
      </c>
      <c r="B106" s="1" t="s">
        <v>23</v>
      </c>
      <c r="C106" s="1" t="s">
        <v>9</v>
      </c>
      <c r="D106" s="1" t="s">
        <v>9</v>
      </c>
      <c r="E106" s="1" t="s">
        <v>9</v>
      </c>
      <c r="F106" s="1" t="s">
        <v>9</v>
      </c>
      <c r="G106" s="1" t="s">
        <v>9</v>
      </c>
    </row>
    <row r="107" spans="1:7" x14ac:dyDescent="0.25">
      <c r="A107" s="1" t="s">
        <v>10</v>
      </c>
      <c r="B107" s="1" t="s">
        <v>44</v>
      </c>
      <c r="C107" s="1" t="s">
        <v>9</v>
      </c>
      <c r="D107" s="1" t="s">
        <v>9</v>
      </c>
      <c r="E107" s="1" t="s">
        <v>9</v>
      </c>
      <c r="F107" s="1" t="s">
        <v>9</v>
      </c>
      <c r="G107" s="1" t="s">
        <v>9</v>
      </c>
    </row>
    <row r="108" spans="1:7" x14ac:dyDescent="0.25">
      <c r="A108" s="1" t="s">
        <v>11</v>
      </c>
      <c r="B108" s="1" t="s">
        <v>25</v>
      </c>
      <c r="C108" s="1" t="s">
        <v>9</v>
      </c>
      <c r="D108" s="1" t="s">
        <v>9</v>
      </c>
      <c r="E108" s="1" t="s">
        <v>9</v>
      </c>
      <c r="F108" s="1" t="s">
        <v>9</v>
      </c>
      <c r="G108" s="1" t="s">
        <v>9</v>
      </c>
    </row>
    <row r="109" spans="1:7" x14ac:dyDescent="0.25">
      <c r="A109" s="1" t="s">
        <v>13</v>
      </c>
      <c r="B109" s="1" t="s">
        <v>13</v>
      </c>
      <c r="C109" s="1" t="s">
        <v>26</v>
      </c>
      <c r="D109" s="1" t="s">
        <v>9</v>
      </c>
      <c r="E109" s="1" t="s">
        <v>9</v>
      </c>
      <c r="F109" s="1" t="s">
        <v>9</v>
      </c>
      <c r="G109" s="1" t="s">
        <v>9</v>
      </c>
    </row>
    <row r="110" spans="1:7" x14ac:dyDescent="0.25">
      <c r="A110" s="1" t="s">
        <v>13</v>
      </c>
      <c r="B110" s="1" t="s">
        <v>13</v>
      </c>
      <c r="C110" s="1">
        <v>137</v>
      </c>
      <c r="D110" s="1"/>
      <c r="E110" s="1" t="s">
        <v>9</v>
      </c>
      <c r="F110" s="1" t="s">
        <v>9</v>
      </c>
      <c r="G110" s="1" t="s">
        <v>9</v>
      </c>
    </row>
    <row r="111" spans="1:7" x14ac:dyDescent="0.25">
      <c r="A111" s="1" t="s">
        <v>7</v>
      </c>
      <c r="B111" s="1" t="s">
        <v>23</v>
      </c>
      <c r="C111" s="1" t="s">
        <v>9</v>
      </c>
      <c r="D111" s="1" t="s">
        <v>9</v>
      </c>
      <c r="E111" s="1" t="s">
        <v>9</v>
      </c>
      <c r="F111" s="1" t="s">
        <v>9</v>
      </c>
      <c r="G111" s="1" t="s">
        <v>9</v>
      </c>
    </row>
    <row r="112" spans="1:7" x14ac:dyDescent="0.25">
      <c r="A112" s="1" t="s">
        <v>10</v>
      </c>
      <c r="B112" s="1" t="s">
        <v>44</v>
      </c>
      <c r="C112" s="1" t="s">
        <v>9</v>
      </c>
      <c r="D112" s="1" t="s">
        <v>9</v>
      </c>
      <c r="E112" s="1" t="s">
        <v>9</v>
      </c>
      <c r="F112" s="1" t="s">
        <v>9</v>
      </c>
      <c r="G112" s="1" t="s">
        <v>9</v>
      </c>
    </row>
    <row r="113" spans="1:7" x14ac:dyDescent="0.25">
      <c r="A113" s="1" t="s">
        <v>11</v>
      </c>
      <c r="B113" s="1" t="s">
        <v>27</v>
      </c>
      <c r="C113" s="1" t="s">
        <v>9</v>
      </c>
      <c r="D113" s="1" t="s">
        <v>9</v>
      </c>
      <c r="E113" s="1" t="s">
        <v>9</v>
      </c>
      <c r="F113" s="1" t="s">
        <v>9</v>
      </c>
      <c r="G113" s="1" t="s">
        <v>9</v>
      </c>
    </row>
    <row r="114" spans="1:7" x14ac:dyDescent="0.25">
      <c r="A114" s="1" t="s">
        <v>13</v>
      </c>
      <c r="B114" s="1" t="s">
        <v>13</v>
      </c>
      <c r="C114" s="1" t="s">
        <v>26</v>
      </c>
      <c r="D114" s="1" t="s">
        <v>9</v>
      </c>
      <c r="E114" s="1" t="s">
        <v>9</v>
      </c>
      <c r="F114" s="1" t="s">
        <v>9</v>
      </c>
      <c r="G114" s="1" t="s">
        <v>9</v>
      </c>
    </row>
    <row r="115" spans="1:7" x14ac:dyDescent="0.25">
      <c r="A115" s="1" t="s">
        <v>13</v>
      </c>
      <c r="B115" s="1" t="s">
        <v>13</v>
      </c>
      <c r="C115" s="1">
        <v>137</v>
      </c>
      <c r="D115" s="1"/>
      <c r="E115" s="1" t="s">
        <v>9</v>
      </c>
      <c r="F115" s="1" t="s">
        <v>9</v>
      </c>
      <c r="G115" s="1" t="s">
        <v>9</v>
      </c>
    </row>
    <row r="116" spans="1:7" x14ac:dyDescent="0.25">
      <c r="A116" s="1" t="s">
        <v>7</v>
      </c>
      <c r="B116" s="1" t="s">
        <v>23</v>
      </c>
      <c r="C116" s="1" t="s">
        <v>9</v>
      </c>
      <c r="D116" s="1" t="s">
        <v>9</v>
      </c>
      <c r="E116" s="1" t="s">
        <v>9</v>
      </c>
      <c r="F116" s="1" t="s">
        <v>9</v>
      </c>
      <c r="G116" s="1" t="s">
        <v>9</v>
      </c>
    </row>
    <row r="117" spans="1:7" x14ac:dyDescent="0.25">
      <c r="A117" s="1" t="s">
        <v>10</v>
      </c>
      <c r="B117" s="1" t="s">
        <v>44</v>
      </c>
      <c r="C117" s="1" t="s">
        <v>9</v>
      </c>
      <c r="D117" s="1" t="s">
        <v>9</v>
      </c>
      <c r="E117" s="1" t="s">
        <v>9</v>
      </c>
      <c r="F117" s="1" t="s">
        <v>9</v>
      </c>
      <c r="G117" s="1" t="s">
        <v>9</v>
      </c>
    </row>
    <row r="118" spans="1:7" x14ac:dyDescent="0.25">
      <c r="A118" s="1" t="s">
        <v>11</v>
      </c>
      <c r="B118" s="1" t="s">
        <v>28</v>
      </c>
      <c r="C118" s="1" t="s">
        <v>9</v>
      </c>
      <c r="D118" s="1" t="s">
        <v>9</v>
      </c>
      <c r="E118" s="1" t="s">
        <v>9</v>
      </c>
      <c r="F118" s="1" t="s">
        <v>9</v>
      </c>
      <c r="G118" s="1" t="s">
        <v>9</v>
      </c>
    </row>
    <row r="119" spans="1:7" x14ac:dyDescent="0.25">
      <c r="A119" s="1" t="s">
        <v>13</v>
      </c>
      <c r="B119" s="1" t="s">
        <v>13</v>
      </c>
      <c r="C119" s="1" t="s">
        <v>26</v>
      </c>
      <c r="D119" s="1" t="s">
        <v>9</v>
      </c>
      <c r="E119" s="1" t="s">
        <v>9</v>
      </c>
      <c r="F119" s="1" t="s">
        <v>9</v>
      </c>
      <c r="G119" s="1" t="s">
        <v>9</v>
      </c>
    </row>
    <row r="120" spans="1:7" x14ac:dyDescent="0.25">
      <c r="A120" s="1" t="s">
        <v>13</v>
      </c>
      <c r="B120" s="1" t="s">
        <v>13</v>
      </c>
      <c r="C120" s="1">
        <v>137</v>
      </c>
      <c r="D120" s="1"/>
      <c r="E120" s="1" t="s">
        <v>9</v>
      </c>
      <c r="F120" s="1" t="s">
        <v>9</v>
      </c>
      <c r="G120" s="1" t="s">
        <v>9</v>
      </c>
    </row>
    <row r="121" spans="1:7" x14ac:dyDescent="0.25">
      <c r="A121" s="1" t="s">
        <v>29</v>
      </c>
      <c r="B121" s="1" t="s">
        <v>30</v>
      </c>
      <c r="C121" s="1" t="s">
        <v>9</v>
      </c>
      <c r="D121" s="1" t="s">
        <v>9</v>
      </c>
      <c r="E121" s="1" t="s">
        <v>9</v>
      </c>
      <c r="F121" s="1" t="s">
        <v>9</v>
      </c>
      <c r="G121" s="1" t="s">
        <v>9</v>
      </c>
    </row>
    <row r="122" spans="1:7" x14ac:dyDescent="0.25">
      <c r="A122" s="1" t="s">
        <v>10</v>
      </c>
      <c r="B122" s="1" t="s">
        <v>45</v>
      </c>
      <c r="C122" s="1" t="s">
        <v>9</v>
      </c>
      <c r="D122" s="1" t="s">
        <v>9</v>
      </c>
      <c r="E122" s="1" t="s">
        <v>9</v>
      </c>
      <c r="F122" s="1" t="s">
        <v>9</v>
      </c>
      <c r="G122" s="1" t="s">
        <v>9</v>
      </c>
    </row>
    <row r="123" spans="1:7" x14ac:dyDescent="0.25">
      <c r="A123" s="1" t="s">
        <v>11</v>
      </c>
      <c r="B123" s="1" t="s">
        <v>32</v>
      </c>
      <c r="C123" s="1" t="s">
        <v>9</v>
      </c>
      <c r="D123" s="1" t="s">
        <v>9</v>
      </c>
      <c r="E123" s="1" t="s">
        <v>9</v>
      </c>
      <c r="F123" s="1" t="s">
        <v>9</v>
      </c>
      <c r="G123" s="1" t="s">
        <v>9</v>
      </c>
    </row>
    <row r="124" spans="1:7" x14ac:dyDescent="0.25">
      <c r="A124" s="1" t="s">
        <v>13</v>
      </c>
      <c r="B124" s="1" t="s">
        <v>13</v>
      </c>
      <c r="C124" s="1" t="s">
        <v>14</v>
      </c>
      <c r="D124" s="1" t="s">
        <v>33</v>
      </c>
      <c r="E124" s="1" t="s">
        <v>34</v>
      </c>
      <c r="F124" s="1" t="s">
        <v>9</v>
      </c>
      <c r="G124" s="1" t="s">
        <v>9</v>
      </c>
    </row>
    <row r="125" spans="1:7" x14ac:dyDescent="0.25">
      <c r="A125" s="1" t="s">
        <v>13</v>
      </c>
      <c r="B125" s="1" t="s">
        <v>13</v>
      </c>
      <c r="C125" s="1">
        <v>3121</v>
      </c>
      <c r="D125" s="1">
        <v>679</v>
      </c>
      <c r="E125" s="1">
        <v>2442</v>
      </c>
      <c r="F125" s="1"/>
      <c r="G125" s="1"/>
    </row>
    <row r="126" spans="1:7" x14ac:dyDescent="0.25">
      <c r="A126" s="1" t="s">
        <v>13</v>
      </c>
      <c r="B126" s="1" t="s">
        <v>13</v>
      </c>
      <c r="C126" s="1" t="s">
        <v>35</v>
      </c>
      <c r="D126" s="1" t="s">
        <v>9</v>
      </c>
      <c r="E126" s="1" t="s">
        <v>9</v>
      </c>
      <c r="F126" s="1" t="s">
        <v>9</v>
      </c>
      <c r="G126" s="1" t="s">
        <v>9</v>
      </c>
    </row>
    <row r="127" spans="1:7" x14ac:dyDescent="0.25">
      <c r="A127" s="1" t="s">
        <v>13</v>
      </c>
      <c r="B127" s="1" t="s">
        <v>13</v>
      </c>
      <c r="C127" s="1">
        <v>1023</v>
      </c>
      <c r="D127" s="1"/>
      <c r="E127" s="1" t="s">
        <v>9</v>
      </c>
      <c r="F127" s="1" t="s">
        <v>9</v>
      </c>
      <c r="G127" s="1" t="s">
        <v>9</v>
      </c>
    </row>
    <row r="128" spans="1:7" x14ac:dyDescent="0.25">
      <c r="A128" s="1" t="s">
        <v>7</v>
      </c>
      <c r="B128" s="1" t="s">
        <v>8</v>
      </c>
      <c r="C128" s="1" t="s">
        <v>9</v>
      </c>
      <c r="D128" s="1" t="s">
        <v>9</v>
      </c>
      <c r="E128" s="1" t="s">
        <v>9</v>
      </c>
      <c r="F128" s="1" t="s">
        <v>9</v>
      </c>
      <c r="G128" s="1" t="s">
        <v>9</v>
      </c>
    </row>
    <row r="129" spans="1:17" x14ac:dyDescent="0.25">
      <c r="A129" s="1" t="s">
        <v>10</v>
      </c>
      <c r="B129" s="1" t="s">
        <v>46</v>
      </c>
      <c r="C129" s="1" t="s">
        <v>9</v>
      </c>
      <c r="D129" s="1" t="s">
        <v>9</v>
      </c>
      <c r="E129" s="1" t="s">
        <v>9</v>
      </c>
      <c r="F129" s="1" t="s">
        <v>9</v>
      </c>
      <c r="G129" s="1" t="s">
        <v>9</v>
      </c>
    </row>
    <row r="130" spans="1:17" x14ac:dyDescent="0.25">
      <c r="A130" s="1" t="s">
        <v>11</v>
      </c>
      <c r="B130" s="1" t="s">
        <v>12</v>
      </c>
      <c r="C130" s="1" t="s">
        <v>9</v>
      </c>
      <c r="D130" s="1" t="s">
        <v>9</v>
      </c>
      <c r="E130" s="1" t="s">
        <v>9</v>
      </c>
      <c r="F130" s="1" t="s">
        <v>9</v>
      </c>
      <c r="G130" s="1" t="s">
        <v>9</v>
      </c>
      <c r="J130" s="8" t="s">
        <v>64</v>
      </c>
      <c r="K130" s="8"/>
      <c r="L130" s="8"/>
      <c r="M130" s="8" t="s">
        <v>65</v>
      </c>
      <c r="N130" s="8"/>
      <c r="O130" s="8"/>
      <c r="P130" s="8"/>
      <c r="Q130" s="8"/>
    </row>
    <row r="131" spans="1:17" ht="30" x14ac:dyDescent="0.25">
      <c r="A131" s="1" t="s">
        <v>13</v>
      </c>
      <c r="B131" s="1" t="s">
        <v>13</v>
      </c>
      <c r="C131" s="1" t="s">
        <v>14</v>
      </c>
      <c r="D131" s="1" t="s">
        <v>15</v>
      </c>
      <c r="E131" s="1" t="s">
        <v>16</v>
      </c>
      <c r="F131" s="1" t="s">
        <v>17</v>
      </c>
      <c r="G131" s="1" t="s">
        <v>18</v>
      </c>
      <c r="I131" t="s">
        <v>60</v>
      </c>
      <c r="J131" s="12" t="s">
        <v>62</v>
      </c>
      <c r="K131" s="13" t="s">
        <v>63</v>
      </c>
      <c r="L131" s="12" t="s">
        <v>66</v>
      </c>
      <c r="M131" s="12" t="s">
        <v>67</v>
      </c>
      <c r="N131" s="12" t="s">
        <v>68</v>
      </c>
      <c r="O131" s="12" t="s">
        <v>69</v>
      </c>
      <c r="P131" s="12" t="s">
        <v>59</v>
      </c>
      <c r="Q131" s="12" t="s">
        <v>70</v>
      </c>
    </row>
    <row r="132" spans="1:17" x14ac:dyDescent="0.25">
      <c r="A132" s="1" t="s">
        <v>13</v>
      </c>
      <c r="B132" s="1" t="s">
        <v>13</v>
      </c>
      <c r="C132" s="1">
        <v>1814</v>
      </c>
      <c r="D132" s="1">
        <v>1519</v>
      </c>
      <c r="E132" s="1">
        <v>295</v>
      </c>
      <c r="F132" s="1">
        <v>801</v>
      </c>
      <c r="G132" s="1">
        <v>718</v>
      </c>
      <c r="I132">
        <f>C147</f>
        <v>84</v>
      </c>
      <c r="J132">
        <f>_2025_07_28_13_44_28___stats[[#This Row],[Column7]]+G137+G142</f>
        <v>1809</v>
      </c>
      <c r="K132">
        <f>J132/(I132/60)</f>
        <v>1292.1428571428573</v>
      </c>
      <c r="L132">
        <f>_2025_07_28_13_44_28___stats[[#This Row],[Column6]]+F137+F142</f>
        <v>2394</v>
      </c>
      <c r="M132">
        <f>(E162-C164)</f>
        <v>669</v>
      </c>
      <c r="N132">
        <f>M132/(I132/60)</f>
        <v>477.85714285714289</v>
      </c>
      <c r="O132">
        <f>C164</f>
        <v>1023</v>
      </c>
      <c r="P132">
        <f>D162</f>
        <v>371</v>
      </c>
      <c r="Q132">
        <f>P132/(I132/60)</f>
        <v>265</v>
      </c>
    </row>
    <row r="133" spans="1:17" x14ac:dyDescent="0.25">
      <c r="A133" s="1" t="s">
        <v>7</v>
      </c>
      <c r="B133" s="1" t="s">
        <v>8</v>
      </c>
      <c r="C133" s="1" t="s">
        <v>9</v>
      </c>
      <c r="D133" s="1" t="s">
        <v>9</v>
      </c>
      <c r="E133" s="1" t="s">
        <v>9</v>
      </c>
      <c r="F133" s="1" t="s">
        <v>9</v>
      </c>
      <c r="G133" s="1" t="s">
        <v>9</v>
      </c>
    </row>
    <row r="134" spans="1:17" x14ac:dyDescent="0.25">
      <c r="A134" s="1" t="s">
        <v>10</v>
      </c>
      <c r="B134" s="1" t="s">
        <v>47</v>
      </c>
      <c r="C134" s="1" t="s">
        <v>9</v>
      </c>
      <c r="D134" s="1" t="s">
        <v>9</v>
      </c>
      <c r="E134" s="1" t="s">
        <v>9</v>
      </c>
      <c r="F134" s="1" t="s">
        <v>9</v>
      </c>
      <c r="G134" s="1" t="s">
        <v>9</v>
      </c>
    </row>
    <row r="135" spans="1:17" x14ac:dyDescent="0.25">
      <c r="A135" s="1" t="s">
        <v>11</v>
      </c>
      <c r="B135" s="1" t="s">
        <v>20</v>
      </c>
      <c r="C135" s="1" t="s">
        <v>9</v>
      </c>
      <c r="D135" s="1" t="s">
        <v>9</v>
      </c>
      <c r="E135" s="1" t="s">
        <v>9</v>
      </c>
      <c r="F135" s="1" t="s">
        <v>9</v>
      </c>
      <c r="G135" s="1" t="s">
        <v>9</v>
      </c>
    </row>
    <row r="136" spans="1:17" x14ac:dyDescent="0.25">
      <c r="A136" s="1" t="s">
        <v>13</v>
      </c>
      <c r="B136" s="1" t="s">
        <v>13</v>
      </c>
      <c r="C136" s="1" t="s">
        <v>14</v>
      </c>
      <c r="D136" s="1" t="s">
        <v>15</v>
      </c>
      <c r="E136" s="1" t="s">
        <v>16</v>
      </c>
      <c r="F136" s="1" t="s">
        <v>17</v>
      </c>
      <c r="G136" s="1" t="s">
        <v>18</v>
      </c>
    </row>
    <row r="137" spans="1:17" x14ac:dyDescent="0.25">
      <c r="A137" s="1" t="s">
        <v>13</v>
      </c>
      <c r="B137" s="1" t="s">
        <v>13</v>
      </c>
      <c r="C137" s="1">
        <v>1098</v>
      </c>
      <c r="D137" s="1">
        <v>1088</v>
      </c>
      <c r="E137" s="1">
        <v>10</v>
      </c>
      <c r="F137" s="1">
        <v>803</v>
      </c>
      <c r="G137" s="1">
        <v>285</v>
      </c>
    </row>
    <row r="138" spans="1:17" x14ac:dyDescent="0.25">
      <c r="A138" s="1" t="s">
        <v>7</v>
      </c>
      <c r="B138" s="1" t="s">
        <v>8</v>
      </c>
      <c r="C138" s="1" t="s">
        <v>9</v>
      </c>
      <c r="D138" s="1" t="s">
        <v>9</v>
      </c>
      <c r="E138" s="1" t="s">
        <v>9</v>
      </c>
      <c r="F138" s="1" t="s">
        <v>9</v>
      </c>
      <c r="G138" s="1" t="s">
        <v>9</v>
      </c>
    </row>
    <row r="139" spans="1:17" x14ac:dyDescent="0.25">
      <c r="A139" s="1" t="s">
        <v>10</v>
      </c>
      <c r="B139" s="1" t="s">
        <v>48</v>
      </c>
      <c r="C139" s="1" t="s">
        <v>9</v>
      </c>
      <c r="D139" s="1" t="s">
        <v>9</v>
      </c>
      <c r="E139" s="1" t="s">
        <v>9</v>
      </c>
      <c r="F139" s="1" t="s">
        <v>9</v>
      </c>
      <c r="G139" s="1" t="s">
        <v>9</v>
      </c>
    </row>
    <row r="140" spans="1:17" x14ac:dyDescent="0.25">
      <c r="A140" s="1" t="s">
        <v>11</v>
      </c>
      <c r="B140" s="1" t="s">
        <v>22</v>
      </c>
      <c r="C140" s="1" t="s">
        <v>9</v>
      </c>
      <c r="D140" s="1" t="s">
        <v>9</v>
      </c>
      <c r="E140" s="1" t="s">
        <v>9</v>
      </c>
      <c r="F140" s="1" t="s">
        <v>9</v>
      </c>
      <c r="G140" s="1" t="s">
        <v>9</v>
      </c>
    </row>
    <row r="141" spans="1:17" x14ac:dyDescent="0.25">
      <c r="A141" s="1" t="s">
        <v>13</v>
      </c>
      <c r="B141" s="1" t="s">
        <v>13</v>
      </c>
      <c r="C141" s="1" t="s">
        <v>14</v>
      </c>
      <c r="D141" s="1" t="s">
        <v>15</v>
      </c>
      <c r="E141" s="1" t="s">
        <v>16</v>
      </c>
      <c r="F141" s="1" t="s">
        <v>17</v>
      </c>
      <c r="G141" s="1" t="s">
        <v>18</v>
      </c>
    </row>
    <row r="142" spans="1:17" x14ac:dyDescent="0.25">
      <c r="A142" s="1" t="s">
        <v>13</v>
      </c>
      <c r="B142" s="1" t="s">
        <v>13</v>
      </c>
      <c r="C142" s="1">
        <v>1915</v>
      </c>
      <c r="D142" s="1">
        <v>1596</v>
      </c>
      <c r="E142" s="1">
        <v>319</v>
      </c>
      <c r="F142" s="1">
        <v>790</v>
      </c>
      <c r="G142" s="1">
        <v>806</v>
      </c>
    </row>
    <row r="143" spans="1:17" x14ac:dyDescent="0.25">
      <c r="A143" s="1" t="s">
        <v>7</v>
      </c>
      <c r="B143" s="1" t="s">
        <v>23</v>
      </c>
      <c r="C143" s="1" t="s">
        <v>9</v>
      </c>
      <c r="D143" s="1" t="s">
        <v>9</v>
      </c>
      <c r="E143" s="1" t="s">
        <v>9</v>
      </c>
      <c r="F143" s="1" t="s">
        <v>9</v>
      </c>
      <c r="G143" s="1" t="s">
        <v>9</v>
      </c>
    </row>
    <row r="144" spans="1:17" x14ac:dyDescent="0.25">
      <c r="A144" s="1" t="s">
        <v>10</v>
      </c>
      <c r="B144" s="1" t="s">
        <v>49</v>
      </c>
      <c r="C144" s="1" t="s">
        <v>9</v>
      </c>
      <c r="D144" s="1" t="s">
        <v>9</v>
      </c>
      <c r="E144" s="1" t="s">
        <v>9</v>
      </c>
      <c r="F144" s="1" t="s">
        <v>9</v>
      </c>
      <c r="G144" s="1" t="s">
        <v>9</v>
      </c>
    </row>
    <row r="145" spans="1:7" x14ac:dyDescent="0.25">
      <c r="A145" s="1" t="s">
        <v>11</v>
      </c>
      <c r="B145" s="1" t="s">
        <v>25</v>
      </c>
      <c r="C145" s="1" t="s">
        <v>9</v>
      </c>
      <c r="D145" s="1" t="s">
        <v>9</v>
      </c>
      <c r="E145" s="1" t="s">
        <v>9</v>
      </c>
      <c r="F145" s="1" t="s">
        <v>9</v>
      </c>
      <c r="G145" s="1" t="s">
        <v>9</v>
      </c>
    </row>
    <row r="146" spans="1:7" x14ac:dyDescent="0.25">
      <c r="A146" s="1" t="s">
        <v>13</v>
      </c>
      <c r="B146" s="1" t="s">
        <v>13</v>
      </c>
      <c r="C146" s="1" t="s">
        <v>26</v>
      </c>
      <c r="D146" s="1" t="s">
        <v>9</v>
      </c>
      <c r="E146" s="1" t="s">
        <v>9</v>
      </c>
      <c r="F146" s="1" t="s">
        <v>9</v>
      </c>
      <c r="G146" s="1" t="s">
        <v>9</v>
      </c>
    </row>
    <row r="147" spans="1:7" x14ac:dyDescent="0.25">
      <c r="A147" s="1" t="s">
        <v>13</v>
      </c>
      <c r="B147" s="1" t="s">
        <v>13</v>
      </c>
      <c r="C147" s="1">
        <v>84</v>
      </c>
      <c r="D147" s="1"/>
      <c r="E147" s="1" t="s">
        <v>9</v>
      </c>
      <c r="F147" s="1" t="s">
        <v>9</v>
      </c>
      <c r="G147" s="1" t="s">
        <v>9</v>
      </c>
    </row>
    <row r="148" spans="1:7" x14ac:dyDescent="0.25">
      <c r="A148" s="1" t="s">
        <v>7</v>
      </c>
      <c r="B148" s="1" t="s">
        <v>23</v>
      </c>
      <c r="C148" s="1" t="s">
        <v>9</v>
      </c>
      <c r="D148" s="1" t="s">
        <v>9</v>
      </c>
      <c r="E148" s="1" t="s">
        <v>9</v>
      </c>
      <c r="F148" s="1" t="s">
        <v>9</v>
      </c>
      <c r="G148" s="1" t="s">
        <v>9</v>
      </c>
    </row>
    <row r="149" spans="1:7" x14ac:dyDescent="0.25">
      <c r="A149" s="1" t="s">
        <v>10</v>
      </c>
      <c r="B149" s="1" t="s">
        <v>49</v>
      </c>
      <c r="C149" s="1" t="s">
        <v>9</v>
      </c>
      <c r="D149" s="1" t="s">
        <v>9</v>
      </c>
      <c r="E149" s="1" t="s">
        <v>9</v>
      </c>
      <c r="F149" s="1" t="s">
        <v>9</v>
      </c>
      <c r="G149" s="1" t="s">
        <v>9</v>
      </c>
    </row>
    <row r="150" spans="1:7" x14ac:dyDescent="0.25">
      <c r="A150" s="1" t="s">
        <v>11</v>
      </c>
      <c r="B150" s="1" t="s">
        <v>27</v>
      </c>
      <c r="C150" s="1" t="s">
        <v>9</v>
      </c>
      <c r="D150" s="1" t="s">
        <v>9</v>
      </c>
      <c r="E150" s="1" t="s">
        <v>9</v>
      </c>
      <c r="F150" s="1" t="s">
        <v>9</v>
      </c>
      <c r="G150" s="1" t="s">
        <v>9</v>
      </c>
    </row>
    <row r="151" spans="1:7" x14ac:dyDescent="0.25">
      <c r="A151" s="1" t="s">
        <v>13</v>
      </c>
      <c r="B151" s="1" t="s">
        <v>13</v>
      </c>
      <c r="C151" s="1" t="s">
        <v>26</v>
      </c>
      <c r="D151" s="1" t="s">
        <v>9</v>
      </c>
      <c r="E151" s="1" t="s">
        <v>9</v>
      </c>
      <c r="F151" s="1" t="s">
        <v>9</v>
      </c>
      <c r="G151" s="1" t="s">
        <v>9</v>
      </c>
    </row>
    <row r="152" spans="1:7" x14ac:dyDescent="0.25">
      <c r="A152" s="1" t="s">
        <v>13</v>
      </c>
      <c r="B152" s="1" t="s">
        <v>13</v>
      </c>
      <c r="C152" s="1">
        <v>84</v>
      </c>
      <c r="D152" s="1"/>
      <c r="E152" s="1" t="s">
        <v>9</v>
      </c>
      <c r="F152" s="1" t="s">
        <v>9</v>
      </c>
      <c r="G152" s="1" t="s">
        <v>9</v>
      </c>
    </row>
    <row r="153" spans="1:7" x14ac:dyDescent="0.25">
      <c r="A153" s="1" t="s">
        <v>7</v>
      </c>
      <c r="B153" s="1" t="s">
        <v>23</v>
      </c>
      <c r="C153" s="1" t="s">
        <v>9</v>
      </c>
      <c r="D153" s="1" t="s">
        <v>9</v>
      </c>
      <c r="E153" s="1" t="s">
        <v>9</v>
      </c>
      <c r="F153" s="1" t="s">
        <v>9</v>
      </c>
      <c r="G153" s="1" t="s">
        <v>9</v>
      </c>
    </row>
    <row r="154" spans="1:7" x14ac:dyDescent="0.25">
      <c r="A154" s="1" t="s">
        <v>10</v>
      </c>
      <c r="B154" s="1" t="s">
        <v>50</v>
      </c>
      <c r="C154" s="1" t="s">
        <v>9</v>
      </c>
      <c r="D154" s="1" t="s">
        <v>9</v>
      </c>
      <c r="E154" s="1" t="s">
        <v>9</v>
      </c>
      <c r="F154" s="1" t="s">
        <v>9</v>
      </c>
      <c r="G154" s="1" t="s">
        <v>9</v>
      </c>
    </row>
    <row r="155" spans="1:7" x14ac:dyDescent="0.25">
      <c r="A155" s="1" t="s">
        <v>11</v>
      </c>
      <c r="B155" s="1" t="s">
        <v>28</v>
      </c>
      <c r="C155" s="1" t="s">
        <v>9</v>
      </c>
      <c r="D155" s="1" t="s">
        <v>9</v>
      </c>
      <c r="E155" s="1" t="s">
        <v>9</v>
      </c>
      <c r="F155" s="1" t="s">
        <v>9</v>
      </c>
      <c r="G155" s="1" t="s">
        <v>9</v>
      </c>
    </row>
    <row r="156" spans="1:7" x14ac:dyDescent="0.25">
      <c r="A156" s="1" t="s">
        <v>13</v>
      </c>
      <c r="B156" s="1" t="s">
        <v>13</v>
      </c>
      <c r="C156" s="1" t="s">
        <v>26</v>
      </c>
      <c r="D156" s="1" t="s">
        <v>9</v>
      </c>
      <c r="E156" s="1" t="s">
        <v>9</v>
      </c>
      <c r="F156" s="1" t="s">
        <v>9</v>
      </c>
      <c r="G156" s="1" t="s">
        <v>9</v>
      </c>
    </row>
    <row r="157" spans="1:7" x14ac:dyDescent="0.25">
      <c r="A157" s="1" t="s">
        <v>13</v>
      </c>
      <c r="B157" s="1" t="s">
        <v>13</v>
      </c>
      <c r="C157" s="1">
        <v>84</v>
      </c>
      <c r="D157" s="1" t="s">
        <v>9</v>
      </c>
      <c r="E157" s="1" t="s">
        <v>9</v>
      </c>
      <c r="F157" s="1" t="s">
        <v>9</v>
      </c>
      <c r="G157" s="1" t="s">
        <v>9</v>
      </c>
    </row>
    <row r="158" spans="1:7" x14ac:dyDescent="0.25">
      <c r="A158" s="1" t="s">
        <v>29</v>
      </c>
      <c r="B158" s="1" t="s">
        <v>30</v>
      </c>
      <c r="C158" s="1" t="s">
        <v>9</v>
      </c>
      <c r="D158" s="1" t="s">
        <v>9</v>
      </c>
      <c r="E158" s="1" t="s">
        <v>9</v>
      </c>
      <c r="F158" s="1" t="s">
        <v>9</v>
      </c>
      <c r="G158" s="1" t="s">
        <v>9</v>
      </c>
    </row>
    <row r="159" spans="1:7" x14ac:dyDescent="0.25">
      <c r="A159" s="1" t="s">
        <v>10</v>
      </c>
      <c r="B159" s="1" t="s">
        <v>51</v>
      </c>
      <c r="C159" s="1" t="s">
        <v>9</v>
      </c>
      <c r="D159" s="1" t="s">
        <v>9</v>
      </c>
      <c r="E159" s="1" t="s">
        <v>9</v>
      </c>
      <c r="F159" s="1" t="s">
        <v>9</v>
      </c>
      <c r="G159" s="1" t="s">
        <v>9</v>
      </c>
    </row>
    <row r="160" spans="1:7" x14ac:dyDescent="0.25">
      <c r="A160" s="1" t="s">
        <v>11</v>
      </c>
      <c r="B160" s="1" t="s">
        <v>32</v>
      </c>
      <c r="C160" s="1" t="s">
        <v>9</v>
      </c>
      <c r="D160" s="1" t="s">
        <v>9</v>
      </c>
      <c r="E160" s="1" t="s">
        <v>9</v>
      </c>
      <c r="F160" s="1" t="s">
        <v>9</v>
      </c>
      <c r="G160" s="1" t="s">
        <v>9</v>
      </c>
    </row>
    <row r="161" spans="1:17" x14ac:dyDescent="0.25">
      <c r="A161" s="1" t="s">
        <v>13</v>
      </c>
      <c r="B161" s="1" t="s">
        <v>13</v>
      </c>
      <c r="C161" s="1" t="s">
        <v>14</v>
      </c>
      <c r="D161" s="1" t="s">
        <v>33</v>
      </c>
      <c r="E161" s="1" t="s">
        <v>34</v>
      </c>
      <c r="F161" s="1" t="s">
        <v>9</v>
      </c>
      <c r="G161" s="1" t="s">
        <v>9</v>
      </c>
    </row>
    <row r="162" spans="1:17" x14ac:dyDescent="0.25">
      <c r="A162" s="1" t="s">
        <v>13</v>
      </c>
      <c r="B162" s="1" t="s">
        <v>13</v>
      </c>
      <c r="C162" s="1">
        <v>2063</v>
      </c>
      <c r="D162" s="1">
        <v>371</v>
      </c>
      <c r="E162" s="1">
        <v>1692</v>
      </c>
      <c r="F162" s="1"/>
      <c r="G162" s="1"/>
    </row>
    <row r="163" spans="1:17" x14ac:dyDescent="0.25">
      <c r="A163" s="1" t="s">
        <v>13</v>
      </c>
      <c r="B163" s="1" t="s">
        <v>13</v>
      </c>
      <c r="C163" s="1" t="s">
        <v>35</v>
      </c>
      <c r="D163" s="1" t="s">
        <v>9</v>
      </c>
      <c r="E163" s="1" t="s">
        <v>9</v>
      </c>
      <c r="F163" s="1" t="s">
        <v>9</v>
      </c>
      <c r="G163" s="1" t="s">
        <v>9</v>
      </c>
    </row>
    <row r="164" spans="1:17" x14ac:dyDescent="0.25">
      <c r="A164" s="1" t="s">
        <v>13</v>
      </c>
      <c r="B164" s="1" t="s">
        <v>13</v>
      </c>
      <c r="C164" s="1">
        <v>1023</v>
      </c>
      <c r="D164" s="1"/>
      <c r="E164" s="1" t="s">
        <v>9</v>
      </c>
      <c r="F164" s="1" t="s">
        <v>9</v>
      </c>
      <c r="G164" s="1" t="s">
        <v>9</v>
      </c>
    </row>
    <row r="165" spans="1:17" x14ac:dyDescent="0.25">
      <c r="A165" s="1" t="s">
        <v>7</v>
      </c>
      <c r="B165" s="1" t="s">
        <v>8</v>
      </c>
      <c r="C165" s="1" t="s">
        <v>9</v>
      </c>
      <c r="D165" s="1" t="s">
        <v>9</v>
      </c>
      <c r="E165" s="1" t="s">
        <v>9</v>
      </c>
      <c r="F165" s="1" t="s">
        <v>9</v>
      </c>
      <c r="G165" s="1" t="s">
        <v>9</v>
      </c>
    </row>
    <row r="166" spans="1:17" x14ac:dyDescent="0.25">
      <c r="A166" s="1" t="s">
        <v>10</v>
      </c>
      <c r="B166" s="1" t="s">
        <v>52</v>
      </c>
      <c r="C166" s="1" t="s">
        <v>9</v>
      </c>
      <c r="D166" s="1" t="s">
        <v>9</v>
      </c>
      <c r="E166" s="1" t="s">
        <v>9</v>
      </c>
      <c r="F166" s="1" t="s">
        <v>9</v>
      </c>
      <c r="G166" s="1" t="s">
        <v>9</v>
      </c>
    </row>
    <row r="167" spans="1:17" x14ac:dyDescent="0.25">
      <c r="A167" s="1" t="s">
        <v>11</v>
      </c>
      <c r="B167" s="1" t="s">
        <v>12</v>
      </c>
      <c r="C167" s="1" t="s">
        <v>9</v>
      </c>
      <c r="D167" s="1" t="s">
        <v>9</v>
      </c>
      <c r="E167" s="1" t="s">
        <v>9</v>
      </c>
      <c r="F167" s="1" t="s">
        <v>9</v>
      </c>
      <c r="G167" s="1" t="s">
        <v>9</v>
      </c>
      <c r="J167" s="8" t="s">
        <v>64</v>
      </c>
      <c r="K167" s="8"/>
      <c r="L167" s="8"/>
      <c r="M167" s="8" t="s">
        <v>65</v>
      </c>
      <c r="N167" s="8"/>
      <c r="O167" s="8"/>
      <c r="P167" s="8"/>
      <c r="Q167" s="8"/>
    </row>
    <row r="168" spans="1:17" ht="30" x14ac:dyDescent="0.25">
      <c r="A168" s="1" t="s">
        <v>13</v>
      </c>
      <c r="B168" s="1" t="s">
        <v>13</v>
      </c>
      <c r="C168" s="1" t="s">
        <v>14</v>
      </c>
      <c r="D168" s="1" t="s">
        <v>15</v>
      </c>
      <c r="E168" s="1" t="s">
        <v>16</v>
      </c>
      <c r="F168" s="1" t="s">
        <v>17</v>
      </c>
      <c r="G168" s="1" t="s">
        <v>18</v>
      </c>
      <c r="I168" t="s">
        <v>60</v>
      </c>
      <c r="J168" s="12" t="s">
        <v>62</v>
      </c>
      <c r="K168" s="13" t="s">
        <v>63</v>
      </c>
      <c r="L168" s="12" t="s">
        <v>66</v>
      </c>
      <c r="M168" s="12" t="s">
        <v>67</v>
      </c>
      <c r="N168" s="12" t="s">
        <v>68</v>
      </c>
      <c r="O168" s="12" t="s">
        <v>69</v>
      </c>
      <c r="P168" s="12" t="s">
        <v>59</v>
      </c>
      <c r="Q168" s="12" t="s">
        <v>70</v>
      </c>
    </row>
    <row r="169" spans="1:17" x14ac:dyDescent="0.25">
      <c r="A169" s="1" t="s">
        <v>13</v>
      </c>
      <c r="B169" s="1" t="s">
        <v>13</v>
      </c>
      <c r="C169" s="1">
        <v>1332</v>
      </c>
      <c r="D169" s="1">
        <v>1224</v>
      </c>
      <c r="E169" s="1">
        <v>108</v>
      </c>
      <c r="F169" s="1">
        <v>756</v>
      </c>
      <c r="G169" s="1">
        <v>468</v>
      </c>
      <c r="I169">
        <f>C184</f>
        <v>149</v>
      </c>
      <c r="J169">
        <f>_2025_07_28_13_44_28___stats[[#This Row],[Column7]]+G174+G179</f>
        <v>2916</v>
      </c>
      <c r="K169">
        <f>J169/(I169/60)</f>
        <v>1174.2281879194632</v>
      </c>
      <c r="L169">
        <f>_2025_07_28_13_44_28___stats[[#This Row],[Column6]]+F174+F179</f>
        <v>2253</v>
      </c>
      <c r="M169">
        <f>(E199-C201)</f>
        <v>1209</v>
      </c>
      <c r="N169">
        <f>M169/(I169/60)</f>
        <v>486.8456375838926</v>
      </c>
      <c r="O169">
        <f>C201</f>
        <v>1023</v>
      </c>
      <c r="P169">
        <f>D199</f>
        <v>618</v>
      </c>
      <c r="Q169">
        <f>P169/(I169/60)</f>
        <v>248.85906040268455</v>
      </c>
    </row>
    <row r="170" spans="1:17" x14ac:dyDescent="0.25">
      <c r="A170" s="1" t="s">
        <v>7</v>
      </c>
      <c r="B170" s="1" t="s">
        <v>8</v>
      </c>
      <c r="C170" s="1" t="s">
        <v>9</v>
      </c>
      <c r="D170" s="1" t="s">
        <v>9</v>
      </c>
      <c r="E170" s="1" t="s">
        <v>9</v>
      </c>
      <c r="F170" s="1" t="s">
        <v>9</v>
      </c>
      <c r="G170" s="1" t="s">
        <v>9</v>
      </c>
    </row>
    <row r="171" spans="1:17" x14ac:dyDescent="0.25">
      <c r="A171" s="1" t="s">
        <v>10</v>
      </c>
      <c r="B171" s="1" t="s">
        <v>53</v>
      </c>
      <c r="C171" s="1" t="s">
        <v>9</v>
      </c>
      <c r="D171" s="1" t="s">
        <v>9</v>
      </c>
      <c r="E171" s="1" t="s">
        <v>9</v>
      </c>
      <c r="F171" s="1" t="s">
        <v>9</v>
      </c>
      <c r="G171" s="1" t="s">
        <v>9</v>
      </c>
    </row>
    <row r="172" spans="1:17" x14ac:dyDescent="0.25">
      <c r="A172" s="1" t="s">
        <v>11</v>
      </c>
      <c r="B172" s="1" t="s">
        <v>20</v>
      </c>
      <c r="C172" s="1" t="s">
        <v>9</v>
      </c>
      <c r="D172" s="1" t="s">
        <v>9</v>
      </c>
      <c r="E172" s="1" t="s">
        <v>9</v>
      </c>
      <c r="F172" s="1" t="s">
        <v>9</v>
      </c>
      <c r="G172" s="1" t="s">
        <v>9</v>
      </c>
    </row>
    <row r="173" spans="1:17" x14ac:dyDescent="0.25">
      <c r="A173" s="1" t="s">
        <v>13</v>
      </c>
      <c r="B173" s="1" t="s">
        <v>13</v>
      </c>
      <c r="C173" s="1" t="s">
        <v>14</v>
      </c>
      <c r="D173" s="1" t="s">
        <v>15</v>
      </c>
      <c r="E173" s="1" t="s">
        <v>16</v>
      </c>
      <c r="F173" s="1" t="s">
        <v>17</v>
      </c>
      <c r="G173" s="1" t="s">
        <v>18</v>
      </c>
    </row>
    <row r="174" spans="1:17" x14ac:dyDescent="0.25">
      <c r="A174" s="1" t="s">
        <v>13</v>
      </c>
      <c r="B174" s="1" t="s">
        <v>13</v>
      </c>
      <c r="C174" s="1">
        <v>2298</v>
      </c>
      <c r="D174" s="1">
        <v>1840</v>
      </c>
      <c r="E174" s="1">
        <v>458</v>
      </c>
      <c r="F174" s="1">
        <v>754</v>
      </c>
      <c r="G174" s="1">
        <v>1086</v>
      </c>
    </row>
    <row r="175" spans="1:17" x14ac:dyDescent="0.25">
      <c r="A175" s="1" t="s">
        <v>7</v>
      </c>
      <c r="B175" s="1" t="s">
        <v>8</v>
      </c>
      <c r="C175" s="1" t="s">
        <v>9</v>
      </c>
      <c r="D175" s="1" t="s">
        <v>9</v>
      </c>
      <c r="E175" s="1" t="s">
        <v>9</v>
      </c>
      <c r="F175" s="1" t="s">
        <v>9</v>
      </c>
      <c r="G175" s="1" t="s">
        <v>9</v>
      </c>
    </row>
    <row r="176" spans="1:17" x14ac:dyDescent="0.25">
      <c r="A176" s="1" t="s">
        <v>10</v>
      </c>
      <c r="B176" s="1" t="s">
        <v>54</v>
      </c>
      <c r="C176" s="1" t="s">
        <v>9</v>
      </c>
      <c r="D176" s="1" t="s">
        <v>9</v>
      </c>
      <c r="E176" s="1" t="s">
        <v>9</v>
      </c>
      <c r="F176" s="1" t="s">
        <v>9</v>
      </c>
      <c r="G176" s="1" t="s">
        <v>9</v>
      </c>
    </row>
    <row r="177" spans="1:7" x14ac:dyDescent="0.25">
      <c r="A177" s="1" t="s">
        <v>11</v>
      </c>
      <c r="B177" s="1" t="s">
        <v>22</v>
      </c>
      <c r="C177" s="1" t="s">
        <v>9</v>
      </c>
      <c r="D177" s="1" t="s">
        <v>9</v>
      </c>
      <c r="E177" s="1" t="s">
        <v>9</v>
      </c>
      <c r="F177" s="1" t="s">
        <v>9</v>
      </c>
      <c r="G177" s="1" t="s">
        <v>9</v>
      </c>
    </row>
    <row r="178" spans="1:7" x14ac:dyDescent="0.25">
      <c r="A178" s="1" t="s">
        <v>13</v>
      </c>
      <c r="B178" s="1" t="s">
        <v>13</v>
      </c>
      <c r="C178" s="1" t="s">
        <v>14</v>
      </c>
      <c r="D178" s="1" t="s">
        <v>15</v>
      </c>
      <c r="E178" s="1" t="s">
        <v>16</v>
      </c>
      <c r="F178" s="1" t="s">
        <v>17</v>
      </c>
      <c r="G178" s="1" t="s">
        <v>18</v>
      </c>
    </row>
    <row r="179" spans="1:7" x14ac:dyDescent="0.25">
      <c r="A179" s="1" t="s">
        <v>13</v>
      </c>
      <c r="B179" s="1" t="s">
        <v>13</v>
      </c>
      <c r="C179" s="1">
        <v>2665</v>
      </c>
      <c r="D179" s="1">
        <v>2105</v>
      </c>
      <c r="E179" s="1">
        <v>560</v>
      </c>
      <c r="F179" s="1">
        <v>743</v>
      </c>
      <c r="G179" s="1">
        <v>1362</v>
      </c>
    </row>
    <row r="180" spans="1:7" x14ac:dyDescent="0.25">
      <c r="A180" s="1" t="s">
        <v>7</v>
      </c>
      <c r="B180" s="1" t="s">
        <v>23</v>
      </c>
      <c r="C180" s="1" t="s">
        <v>9</v>
      </c>
      <c r="D180" s="1" t="s">
        <v>9</v>
      </c>
      <c r="E180" s="1" t="s">
        <v>9</v>
      </c>
      <c r="F180" s="1" t="s">
        <v>9</v>
      </c>
      <c r="G180" s="1" t="s">
        <v>9</v>
      </c>
    </row>
    <row r="181" spans="1:7" x14ac:dyDescent="0.25">
      <c r="A181" s="1" t="s">
        <v>10</v>
      </c>
      <c r="B181" s="1" t="s">
        <v>55</v>
      </c>
      <c r="C181" s="1" t="s">
        <v>9</v>
      </c>
      <c r="D181" s="1" t="s">
        <v>9</v>
      </c>
      <c r="E181" s="1" t="s">
        <v>9</v>
      </c>
      <c r="F181" s="1" t="s">
        <v>9</v>
      </c>
      <c r="G181" s="1" t="s">
        <v>9</v>
      </c>
    </row>
    <row r="182" spans="1:7" x14ac:dyDescent="0.25">
      <c r="A182" s="1" t="s">
        <v>11</v>
      </c>
      <c r="B182" s="1" t="s">
        <v>25</v>
      </c>
      <c r="C182" s="1" t="s">
        <v>9</v>
      </c>
      <c r="D182" s="1" t="s">
        <v>9</v>
      </c>
      <c r="E182" s="1" t="s">
        <v>9</v>
      </c>
      <c r="F182" s="1" t="s">
        <v>9</v>
      </c>
      <c r="G182" s="1" t="s">
        <v>9</v>
      </c>
    </row>
    <row r="183" spans="1:7" x14ac:dyDescent="0.25">
      <c r="A183" s="1" t="s">
        <v>13</v>
      </c>
      <c r="B183" s="1" t="s">
        <v>13</v>
      </c>
      <c r="C183" s="1" t="s">
        <v>26</v>
      </c>
      <c r="D183" s="1" t="s">
        <v>9</v>
      </c>
      <c r="E183" s="1" t="s">
        <v>9</v>
      </c>
      <c r="F183" s="1" t="s">
        <v>9</v>
      </c>
      <c r="G183" s="1" t="s">
        <v>9</v>
      </c>
    </row>
    <row r="184" spans="1:7" x14ac:dyDescent="0.25">
      <c r="A184" s="1" t="s">
        <v>13</v>
      </c>
      <c r="B184" s="1" t="s">
        <v>13</v>
      </c>
      <c r="C184" s="1">
        <v>149</v>
      </c>
      <c r="D184" s="1" t="s">
        <v>9</v>
      </c>
      <c r="E184" s="1" t="s">
        <v>9</v>
      </c>
      <c r="F184" s="1" t="s">
        <v>9</v>
      </c>
      <c r="G184" s="1" t="s">
        <v>9</v>
      </c>
    </row>
    <row r="185" spans="1:7" x14ac:dyDescent="0.25">
      <c r="A185" s="1" t="s">
        <v>7</v>
      </c>
      <c r="B185" s="1" t="s">
        <v>23</v>
      </c>
      <c r="C185" s="1" t="s">
        <v>9</v>
      </c>
      <c r="D185" s="1" t="s">
        <v>9</v>
      </c>
      <c r="E185" s="1" t="s">
        <v>9</v>
      </c>
      <c r="F185" s="1" t="s">
        <v>9</v>
      </c>
      <c r="G185" s="1" t="s">
        <v>9</v>
      </c>
    </row>
    <row r="186" spans="1:7" x14ac:dyDescent="0.25">
      <c r="A186" s="1" t="s">
        <v>10</v>
      </c>
      <c r="B186" s="1" t="s">
        <v>55</v>
      </c>
      <c r="C186" s="1" t="s">
        <v>9</v>
      </c>
      <c r="D186" s="1" t="s">
        <v>9</v>
      </c>
      <c r="E186" s="1" t="s">
        <v>9</v>
      </c>
      <c r="F186" s="1" t="s">
        <v>9</v>
      </c>
      <c r="G186" s="1" t="s">
        <v>9</v>
      </c>
    </row>
    <row r="187" spans="1:7" x14ac:dyDescent="0.25">
      <c r="A187" s="1" t="s">
        <v>11</v>
      </c>
      <c r="B187" s="1" t="s">
        <v>27</v>
      </c>
      <c r="C187" s="1" t="s">
        <v>9</v>
      </c>
      <c r="D187" s="1" t="s">
        <v>9</v>
      </c>
      <c r="E187" s="1" t="s">
        <v>9</v>
      </c>
      <c r="F187" s="1" t="s">
        <v>9</v>
      </c>
      <c r="G187" s="1" t="s">
        <v>9</v>
      </c>
    </row>
    <row r="188" spans="1:7" x14ac:dyDescent="0.25">
      <c r="A188" s="1" t="s">
        <v>13</v>
      </c>
      <c r="B188" s="1" t="s">
        <v>13</v>
      </c>
      <c r="C188" s="1" t="s">
        <v>26</v>
      </c>
      <c r="D188" s="1" t="s">
        <v>9</v>
      </c>
      <c r="E188" s="1" t="s">
        <v>9</v>
      </c>
      <c r="F188" s="1" t="s">
        <v>9</v>
      </c>
      <c r="G188" s="1" t="s">
        <v>9</v>
      </c>
    </row>
    <row r="189" spans="1:7" x14ac:dyDescent="0.25">
      <c r="A189" s="1" t="s">
        <v>13</v>
      </c>
      <c r="B189" s="1" t="s">
        <v>13</v>
      </c>
      <c r="C189" s="1">
        <v>149</v>
      </c>
      <c r="D189" s="1" t="s">
        <v>9</v>
      </c>
      <c r="E189" s="1" t="s">
        <v>9</v>
      </c>
      <c r="F189" s="1" t="s">
        <v>9</v>
      </c>
      <c r="G189" s="1" t="s">
        <v>9</v>
      </c>
    </row>
    <row r="190" spans="1:7" x14ac:dyDescent="0.25">
      <c r="A190" s="1" t="s">
        <v>7</v>
      </c>
      <c r="B190" s="1" t="s">
        <v>23</v>
      </c>
      <c r="C190" s="1" t="s">
        <v>9</v>
      </c>
      <c r="D190" s="1" t="s">
        <v>9</v>
      </c>
      <c r="E190" s="1" t="s">
        <v>9</v>
      </c>
      <c r="F190" s="1" t="s">
        <v>9</v>
      </c>
      <c r="G190" s="1" t="s">
        <v>9</v>
      </c>
    </row>
    <row r="191" spans="1:7" x14ac:dyDescent="0.25">
      <c r="A191" s="1" t="s">
        <v>10</v>
      </c>
      <c r="B191" s="1" t="s">
        <v>55</v>
      </c>
      <c r="C191" s="1" t="s">
        <v>9</v>
      </c>
      <c r="D191" s="1" t="s">
        <v>9</v>
      </c>
      <c r="E191" s="1" t="s">
        <v>9</v>
      </c>
      <c r="F191" s="1" t="s">
        <v>9</v>
      </c>
      <c r="G191" s="1" t="s">
        <v>9</v>
      </c>
    </row>
    <row r="192" spans="1:7" x14ac:dyDescent="0.25">
      <c r="A192" s="1" t="s">
        <v>11</v>
      </c>
      <c r="B192" s="1" t="s">
        <v>28</v>
      </c>
      <c r="C192" s="1" t="s">
        <v>9</v>
      </c>
      <c r="D192" s="1" t="s">
        <v>9</v>
      </c>
      <c r="E192" s="1" t="s">
        <v>9</v>
      </c>
      <c r="F192" s="1" t="s">
        <v>9</v>
      </c>
      <c r="G192" s="1" t="s">
        <v>9</v>
      </c>
    </row>
    <row r="193" spans="1:16" x14ac:dyDescent="0.25">
      <c r="A193" s="1" t="s">
        <v>13</v>
      </c>
      <c r="B193" s="1" t="s">
        <v>13</v>
      </c>
      <c r="C193" s="1" t="s">
        <v>26</v>
      </c>
      <c r="D193" s="1" t="s">
        <v>9</v>
      </c>
      <c r="E193" s="1" t="s">
        <v>9</v>
      </c>
      <c r="F193" s="1" t="s">
        <v>9</v>
      </c>
      <c r="G193" s="1" t="s">
        <v>9</v>
      </c>
    </row>
    <row r="194" spans="1:16" x14ac:dyDescent="0.25">
      <c r="A194" s="1" t="s">
        <v>13</v>
      </c>
      <c r="B194" s="1" t="s">
        <v>13</v>
      </c>
      <c r="C194" s="1">
        <v>149</v>
      </c>
      <c r="D194" s="1" t="s">
        <v>9</v>
      </c>
      <c r="E194" s="1" t="s">
        <v>9</v>
      </c>
      <c r="F194" s="1" t="s">
        <v>9</v>
      </c>
      <c r="G194" s="1" t="s">
        <v>9</v>
      </c>
    </row>
    <row r="195" spans="1:16" x14ac:dyDescent="0.25">
      <c r="A195" s="1" t="s">
        <v>29</v>
      </c>
      <c r="B195" s="1" t="s">
        <v>30</v>
      </c>
      <c r="C195" s="1" t="s">
        <v>9</v>
      </c>
      <c r="D195" s="1" t="s">
        <v>9</v>
      </c>
      <c r="E195" s="1" t="s">
        <v>9</v>
      </c>
      <c r="F195" s="1" t="s">
        <v>9</v>
      </c>
      <c r="G195" s="1" t="s">
        <v>9</v>
      </c>
    </row>
    <row r="196" spans="1:16" x14ac:dyDescent="0.25">
      <c r="A196" s="1" t="s">
        <v>10</v>
      </c>
      <c r="B196" s="1" t="s">
        <v>56</v>
      </c>
      <c r="C196" s="1" t="s">
        <v>9</v>
      </c>
      <c r="D196" s="1" t="s">
        <v>9</v>
      </c>
      <c r="E196" s="1" t="s">
        <v>9</v>
      </c>
      <c r="F196" s="1" t="s">
        <v>9</v>
      </c>
      <c r="G196" s="1" t="s">
        <v>9</v>
      </c>
    </row>
    <row r="197" spans="1:16" x14ac:dyDescent="0.25">
      <c r="A197" s="1" t="s">
        <v>11</v>
      </c>
      <c r="B197" s="1" t="s">
        <v>32</v>
      </c>
      <c r="C197" s="1" t="s">
        <v>9</v>
      </c>
      <c r="D197" s="1" t="s">
        <v>9</v>
      </c>
      <c r="E197" s="1" t="s">
        <v>9</v>
      </c>
      <c r="F197" s="1" t="s">
        <v>9</v>
      </c>
      <c r="G197" s="1" t="s">
        <v>9</v>
      </c>
    </row>
    <row r="198" spans="1:16" x14ac:dyDescent="0.25">
      <c r="A198" s="1" t="s">
        <v>13</v>
      </c>
      <c r="B198" s="1" t="s">
        <v>13</v>
      </c>
      <c r="C198" s="1" t="s">
        <v>14</v>
      </c>
      <c r="D198" s="1" t="s">
        <v>33</v>
      </c>
      <c r="E198" s="1" t="s">
        <v>34</v>
      </c>
      <c r="F198" s="1" t="s">
        <v>9</v>
      </c>
      <c r="G198" s="1" t="s">
        <v>9</v>
      </c>
    </row>
    <row r="199" spans="1:16" x14ac:dyDescent="0.25">
      <c r="A199" s="1" t="s">
        <v>13</v>
      </c>
      <c r="B199" s="1" t="s">
        <v>13</v>
      </c>
      <c r="C199" s="1">
        <v>2850</v>
      </c>
      <c r="D199" s="1">
        <v>618</v>
      </c>
      <c r="E199" s="1">
        <v>2232</v>
      </c>
      <c r="F199" s="1"/>
      <c r="G199" s="1"/>
    </row>
    <row r="200" spans="1:16" x14ac:dyDescent="0.25">
      <c r="A200" s="1" t="s">
        <v>13</v>
      </c>
      <c r="B200" s="1" t="s">
        <v>13</v>
      </c>
      <c r="C200" s="1" t="s">
        <v>35</v>
      </c>
      <c r="D200" s="1" t="s">
        <v>9</v>
      </c>
      <c r="E200" s="1" t="s">
        <v>9</v>
      </c>
      <c r="F200" s="1" t="s">
        <v>9</v>
      </c>
      <c r="G200" s="1" t="s">
        <v>9</v>
      </c>
    </row>
    <row r="201" spans="1:16" x14ac:dyDescent="0.25">
      <c r="A201" s="1" t="s">
        <v>13</v>
      </c>
      <c r="B201" s="1" t="s">
        <v>13</v>
      </c>
      <c r="C201" s="1">
        <v>1023</v>
      </c>
      <c r="D201" s="1" t="s">
        <v>9</v>
      </c>
      <c r="E201" s="1" t="s">
        <v>9</v>
      </c>
      <c r="F201" s="1" t="s">
        <v>9</v>
      </c>
      <c r="G201" s="1" t="s">
        <v>9</v>
      </c>
    </row>
    <row r="204" spans="1:16" x14ac:dyDescent="0.25">
      <c r="N204" s="8"/>
      <c r="O204" s="8"/>
      <c r="P204" s="8"/>
    </row>
    <row r="205" spans="1:16" x14ac:dyDescent="0.25">
      <c r="N205" s="12"/>
      <c r="O205" s="13"/>
      <c r="P205" s="12"/>
    </row>
  </sheetData>
  <mergeCells count="12">
    <mergeCell ref="J167:L167"/>
    <mergeCell ref="M167:Q167"/>
    <mergeCell ref="N204:P204"/>
    <mergeCell ref="M19:Q19"/>
    <mergeCell ref="J56:L56"/>
    <mergeCell ref="M56:Q56"/>
    <mergeCell ref="J93:L93"/>
    <mergeCell ref="M93:Q93"/>
    <mergeCell ref="J130:L130"/>
    <mergeCell ref="M130:Q130"/>
    <mergeCell ref="J49:K49"/>
    <mergeCell ref="J19:L19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8DFFF-B0A3-42A1-8497-E99B68F439B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658367-8872-48D1-8D50-D9D7486665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2025-07-28_13-44-28___stats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Jankowski</dc:creator>
  <cp:lastModifiedBy>Robert Jankowski</cp:lastModifiedBy>
  <dcterms:created xsi:type="dcterms:W3CDTF">2025-07-28T12:41:40Z</dcterms:created>
  <dcterms:modified xsi:type="dcterms:W3CDTF">2025-07-28T14:42:31Z</dcterms:modified>
</cp:coreProperties>
</file>