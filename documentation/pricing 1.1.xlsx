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peech2Text.Kredobank.v4\documentation\"/>
    </mc:Choice>
  </mc:AlternateContent>
  <xr:revisionPtr revIDLastSave="0" documentId="13_ncr:1_{79BBEBB1-E23B-4EB5-89AB-3CC49469BCD8}" xr6:coauthVersionLast="47" xr6:coauthVersionMax="47" xr10:uidLastSave="{00000000-0000-0000-0000-000000000000}"/>
  <bookViews>
    <workbookView xWindow="-120" yWindow="-120" windowWidth="21840" windowHeight="13020" xr2:uid="{61650599-D606-4C5F-8EBB-B531D50117BC}"/>
  </bookViews>
  <sheets>
    <sheet name="2025-07-28_13-44-28___stats" sheetId="2" r:id="rId1"/>
    <sheet name="Sheet1" sheetId="1" r:id="rId2"/>
  </sheets>
  <definedNames>
    <definedName name="ExternalData_1" localSheetId="0" hidden="1">'2025-07-28_13-44-28___stats'!$A$1:$G$204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2" l="1"/>
  <c r="M7" i="2"/>
  <c r="K7" i="2"/>
  <c r="P172" i="2"/>
  <c r="O172" i="2"/>
  <c r="M172" i="2"/>
  <c r="L172" i="2"/>
  <c r="J172" i="2"/>
  <c r="I172" i="2"/>
  <c r="P135" i="2"/>
  <c r="O135" i="2"/>
  <c r="M135" i="2"/>
  <c r="L135" i="2"/>
  <c r="J135" i="2"/>
  <c r="I135" i="2"/>
  <c r="P98" i="2"/>
  <c r="O98" i="2"/>
  <c r="M98" i="2"/>
  <c r="L98" i="2"/>
  <c r="J98" i="2"/>
  <c r="I98" i="2"/>
  <c r="P61" i="2"/>
  <c r="O61" i="2"/>
  <c r="M61" i="2"/>
  <c r="L61" i="2"/>
  <c r="J61" i="2"/>
  <c r="I61" i="2"/>
  <c r="M24" i="2"/>
  <c r="P24" i="2"/>
  <c r="O24" i="2"/>
  <c r="O19" i="2" s="1"/>
  <c r="O9" i="2" s="1"/>
  <c r="L24" i="2"/>
  <c r="L19" i="2" s="1"/>
  <c r="L9" i="2" s="1"/>
  <c r="J24" i="2"/>
  <c r="I24" i="2"/>
  <c r="I18" i="2" l="1"/>
  <c r="I19" i="2" s="1"/>
  <c r="J18" i="2"/>
  <c r="J19" i="2" s="1"/>
  <c r="O13" i="2"/>
  <c r="L13" i="2"/>
  <c r="K135" i="2"/>
  <c r="N61" i="2"/>
  <c r="Q61" i="2"/>
  <c r="N24" i="2"/>
  <c r="Q98" i="2"/>
  <c r="K24" i="2"/>
  <c r="Q24" i="2"/>
  <c r="K172" i="2"/>
  <c r="K98" i="2"/>
  <c r="N98" i="2"/>
  <c r="N135" i="2"/>
  <c r="Q135" i="2"/>
  <c r="N172" i="2"/>
  <c r="K61" i="2"/>
  <c r="Q172" i="2"/>
  <c r="Q18" i="2" l="1"/>
  <c r="Q19" i="2" s="1"/>
  <c r="K18" i="2"/>
  <c r="N18" i="2"/>
  <c r="N19" i="2" s="1"/>
  <c r="Q13" i="2" l="1"/>
  <c r="Q9" i="2"/>
  <c r="N13" i="2"/>
  <c r="N9" i="2"/>
  <c r="K9" i="2"/>
  <c r="R9" i="2" s="1"/>
  <c r="R10" i="2" s="1"/>
  <c r="K13" i="2"/>
  <c r="R13" i="2" l="1"/>
  <c r="R1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27FC85-CBEF-4BC5-9682-D2DDA449AF1F}" keepAlive="1" name="Query - 2025-07-28_13-44-28___stats" description="Connection to the '2025-07-28_13-44-28___stats' query in the workbook." type="5" refreshedVersion="8" background="1" saveData="1">
    <dbPr connection="Provider=Microsoft.Mashup.OleDb.1;Data Source=$Workbook$;Location=2025-07-28_13-44-28___stats;Extended Properties=&quot;&quot;" command="SELECT * FROM [2025-07-28_13-44-28___stats]"/>
  </connection>
</connections>
</file>

<file path=xl/sharedStrings.xml><?xml version="1.0" encoding="utf-8"?>
<sst xmlns="http://schemas.openxmlformats.org/spreadsheetml/2006/main" count="1240" uniqueCount="89">
  <si>
    <t>Column1</t>
  </si>
  <si>
    <t>Column2</t>
  </si>
  <si>
    <t>Column3</t>
  </si>
  <si>
    <t>Column4</t>
  </si>
  <si>
    <t>Column5</t>
  </si>
  <si>
    <t>Column6</t>
  </si>
  <si>
    <t>Column7</t>
  </si>
  <si>
    <t>Transcribe with:</t>
  </si>
  <si>
    <t>gpt-4o-transcribe</t>
  </si>
  <si>
    <t/>
  </si>
  <si>
    <t>Usage:</t>
  </si>
  <si>
    <t>File name:</t>
  </si>
  <si>
    <t>./sources/_cleaned_left_denoised_silence_removed.wav</t>
  </si>
  <si>
    <t xml:space="preserve"> </t>
  </si>
  <si>
    <t>total_tokens</t>
  </si>
  <si>
    <t>input_tokens</t>
  </si>
  <si>
    <t>output_tokens</t>
  </si>
  <si>
    <t>text_tokens</t>
  </si>
  <si>
    <t>audio_tokens</t>
  </si>
  <si>
    <t>{'type': 'tokens', 'total_tokens': 2423, 'input_tokens': 2275, 'input_token_details': {'text_tokens': 839, 'audio_tokens': 1436}, 'output_tokens': 148}</t>
  </si>
  <si>
    <t>./sources/_cleaned_right_denoised_silence_removed.wav</t>
  </si>
  <si>
    <t>{'type': 'tokens', 'total_tokens': 2928, 'input_tokens': 2528, 'input_token_details': {'text_tokens': 826, 'audio_tokens': 1702}, 'output_tokens': 400}</t>
  </si>
  <si>
    <t>./sources/_cleaned_mono_denoised_silence_removed.wav</t>
  </si>
  <si>
    <t>whisper-1</t>
  </si>
  <si>
    <t>{'type': 'duration', 'seconds': 192}</t>
  </si>
  <si>
    <t>./sources/_cleaned_left_denoised.wav</t>
  </si>
  <si>
    <t>seconds</t>
  </si>
  <si>
    <t>./sources/_cleaned_right_denoised.wav</t>
  </si>
  <si>
    <t>./sources/_cleaned_mono_denoised.wav</t>
  </si>
  <si>
    <t>Split into roles with:</t>
  </si>
  <si>
    <t>gpt-4o</t>
  </si>
  <si>
    <t>CompletionUsage(completion_tokens=455, prompt_tokens=1888, total_tokens=2343, completion_tokens_details=CompletionTokensDetails(accepted_prediction_tokens=0, audio_tokens=0, reasoning_tokens=0, rejected_prediction_tokens=0), prompt_tokens_details=PromptTokensDetails(audio_tokens=0, cached_tokens=0))</t>
  </si>
  <si>
    <t>./sources/.wav</t>
  </si>
  <si>
    <t>completion_tokens</t>
  </si>
  <si>
    <t>prompt_tokens</t>
  </si>
  <si>
    <t>instruction_only_tokens</t>
  </si>
  <si>
    <t>{'type': 'tokens', 'total_tokens': 2196, 'input_tokens': 1736, 'input_token_details': {'text_tokens': 843, 'audio_tokens': 893}, 'output_tokens': 460}</t>
  </si>
  <si>
    <t>{'type': 'tokens', 'total_tokens': 1571, 'input_tokens': 1454, 'input_token_details': {'text_tokens': 845, 'audio_tokens': 609}, 'output_tokens': 117}</t>
  </si>
  <si>
    <t>{'type': 'tokens', 'total_tokens': 2528, 'input_tokens': 1959, 'input_token_details': {'text_tokens': 832, 'audio_tokens': 1127}, 'output_tokens': 569}</t>
  </si>
  <si>
    <t>{'type': 'duration', 'seconds': 116}</t>
  </si>
  <si>
    <t>CompletionUsage(completion_tokens=617, prompt_tokens=2256, total_tokens=2873, completion_tokens_details=CompletionTokensDetails(accepted_prediction_tokens=0, audio_tokens=0, reasoning_tokens=0, rejected_prediction_tokens=0), prompt_tokens_details=PromptTokensDetails(audio_tokens=0, cached_tokens=0))</t>
  </si>
  <si>
    <t>{'type': 'tokens', 'total_tokens': 2029, 'input_tokens': 1724, 'input_token_details': {'text_tokens': 754, 'audio_tokens': 970}, 'output_tokens': 305}</t>
  </si>
  <si>
    <t>{'type': 'tokens', 'total_tokens': 2354, 'input_tokens': 1951, 'input_token_details': {'text_tokens': 756, 'audio_tokens': 1195}, 'output_tokens': 403}</t>
  </si>
  <si>
    <t>{'type': 'tokens', 'total_tokens': 2702, 'input_tokens': 2104, 'input_token_details': {'text_tokens': 743, 'audio_tokens': 1361}, 'output_tokens': 598}</t>
  </si>
  <si>
    <t>{'type': 'duration', 'seconds': 137}</t>
  </si>
  <si>
    <t>CompletionUsage(completion_tokens=679, prompt_tokens=2442, total_tokens=3121, completion_tokens_details=CompletionTokensDetails(accepted_prediction_tokens=0, audio_tokens=0, reasoning_tokens=0, rejected_prediction_tokens=0), prompt_tokens_details=PromptTokensDetails(audio_tokens=0, cached_tokens=0))</t>
  </si>
  <si>
    <t>{'type': 'tokens', 'total_tokens': 1814, 'input_tokens': 1519, 'input_token_details': {'text_tokens': 801, 'audio_tokens': 718}, 'output_tokens': 295}</t>
  </si>
  <si>
    <t>{'type': 'tokens', 'total_tokens': 1098, 'input_tokens': 1088, 'input_token_details': {'text_tokens': 803, 'audio_tokens': 285}, 'output_tokens': 10}</t>
  </si>
  <si>
    <t>{'type': 'tokens', 'total_tokens': 1915, 'input_tokens': 1596, 'input_token_details': {'text_tokens': 790, 'audio_tokens': 806}, 'output_tokens': 319}</t>
  </si>
  <si>
    <t>{'type': 'duration', 'seconds': 84}</t>
  </si>
  <si>
    <t>{'type': 'duration', 'seconds': 0}</t>
  </si>
  <si>
    <t>CompletionUsage(completion_tokens=371, prompt_tokens=1692, total_tokens=2063, completion_tokens_details=CompletionTokensDetails(accepted_prediction_tokens=0, audio_tokens=0, reasoning_tokens=0, rejected_prediction_tokens=0), prompt_tokens_details=PromptTokensDetails(audio_tokens=0, cached_tokens=0))</t>
  </si>
  <si>
    <t>{'type': 'tokens', 'total_tokens': 1332, 'input_tokens': 1224, 'input_token_details': {'text_tokens': 756, 'audio_tokens': 468}, 'output_tokens': 108}</t>
  </si>
  <si>
    <t>{'type': 'tokens', 'total_tokens': 2298, 'input_tokens': 1840, 'input_token_details': {'text_tokens': 754, 'audio_tokens': 1086}, 'output_tokens': 458}</t>
  </si>
  <si>
    <t>{'type': 'tokens', 'total_tokens': 2665, 'input_tokens': 2105, 'input_token_details': {'text_tokens': 743, 'audio_tokens': 1362}, 'output_tokens': 560}</t>
  </si>
  <si>
    <t>{'type': 'duration', 'seconds': 149}</t>
  </si>
  <si>
    <t>CompletionUsage(completion_tokens=618, prompt_tokens=2232, total_tokens=2850, completion_tokens_details=CompletionTokensDetails(accepted_prediction_tokens=0, audio_tokens=0, reasoning_tokens=0, rejected_prediction_tokens=0), prompt_tokens_details=PromptTokensDetails(audio_tokens=0, cached_tokens=0))</t>
  </si>
  <si>
    <t>input prompt</t>
  </si>
  <si>
    <t>input audio</t>
  </si>
  <si>
    <t>Output</t>
  </si>
  <si>
    <t>base time</t>
  </si>
  <si>
    <t>Koszt input (1 M tokenów)</t>
  </si>
  <si>
    <t>Audio
tokens</t>
  </si>
  <si>
    <t>per min</t>
  </si>
  <si>
    <t>Audio</t>
  </si>
  <si>
    <t>Split</t>
  </si>
  <si>
    <t>tekst tokens
per file</t>
  </si>
  <si>
    <t>Input 
tokens</t>
  </si>
  <si>
    <t>Input 
per min</t>
  </si>
  <si>
    <t>Input tokens
static</t>
  </si>
  <si>
    <t>Output
per min</t>
  </si>
  <si>
    <t>Static tekst tokens
per file</t>
  </si>
  <si>
    <t>Audio/min</t>
  </si>
  <si>
    <t>Text/file</t>
  </si>
  <si>
    <t>Text/min</t>
  </si>
  <si>
    <t>text/file</t>
  </si>
  <si>
    <t>Total minutes</t>
  </si>
  <si>
    <t>Average call</t>
  </si>
  <si>
    <t>min</t>
  </si>
  <si>
    <t>cost</t>
  </si>
  <si>
    <t>Average</t>
  </si>
  <si>
    <t>Total for backlog</t>
  </si>
  <si>
    <t>monthly</t>
  </si>
  <si>
    <t>backlog</t>
  </si>
  <si>
    <t>Monthly</t>
  </si>
  <si>
    <t>Total for month</t>
  </si>
  <si>
    <t>USD</t>
  </si>
  <si>
    <t>Sum 5 files</t>
  </si>
  <si>
    <t>Call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</si>
</sst>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.6"/>
      <color theme="1"/>
      <name val="Segoe UI"/>
      <family val="2"/>
      <charset val="238"/>
    </font>
    <font>
      <b/>
      <u/>
      <sz val="11"/>
      <color theme="1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3" fillId="0" borderId="0" xfId="0" applyFont="1" applyAlignment="1">
      <alignment vertical="center" wrapText="1"/>
    </xf>
    <xf numFmtId="2" fontId="4" fillId="0" borderId="1" xfId="1" applyNumberFormat="1" applyBorder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2" fontId="4" fillId="0" borderId="0" xfId="1" applyNumberForma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/>
    <xf numFmtId="2" fontId="8" fillId="0" borderId="0" xfId="1" applyNumberFormat="1" applyFont="1" applyBorder="1" applyAlignment="1">
      <alignment vertical="center" wrapText="1"/>
    </xf>
    <xf numFmtId="0" fontId="0" fillId="2" borderId="0" xfId="0" applyFill="1"/>
    <xf numFmtId="0" fontId="5" fillId="2" borderId="0" xfId="0" applyFont="1" applyFill="1" applyAlignment="1">
      <alignment horizontal="right"/>
    </xf>
    <xf numFmtId="0" fontId="5" fillId="2" borderId="0" xfId="0" applyFont="1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8B2F75-039B-4F87-B728-3D5027F9E8A2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94853-510F-46C2-AA1B-328ACFAC588F}" name="_2025_07_28_13_44_28___stats" displayName="_2025_07_28_13_44_28___stats" ref="A1:G204" tableType="queryTable" totalsRowShown="0">
  <autoFilter ref="A1:G204" xr:uid="{D1794853-510F-46C2-AA1B-328ACFAC588F}"/>
  <tableColumns count="7">
    <tableColumn id="1" xr3:uid="{7C077D5A-D8C9-4436-A52C-5580439CC3E7}" uniqueName="1" name="Column1" queryTableFieldId="1" dataDxfId="6"/>
    <tableColumn id="2" xr3:uid="{838839B4-18B9-4DF6-A6B7-86EC6B80DBAD}" uniqueName="2" name="Column2" queryTableFieldId="2" dataDxfId="5"/>
    <tableColumn id="3" xr3:uid="{B404A7F6-B83F-4C77-AA5D-8BD93FB98017}" uniqueName="3" name="Column3" queryTableFieldId="3" dataDxfId="4"/>
    <tableColumn id="4" xr3:uid="{D496D2A5-2DF4-4D8F-8F7A-948872EF877F}" uniqueName="4" name="Column4" queryTableFieldId="4" dataDxfId="3"/>
    <tableColumn id="5" xr3:uid="{7E4D1581-2B62-4D2B-AC12-B828BF288139}" uniqueName="5" name="Column5" queryTableFieldId="5" dataDxfId="2"/>
    <tableColumn id="6" xr3:uid="{A0491172-6EEF-48DE-8FA4-3D98B6BB40DE}" uniqueName="6" name="Column6" queryTableFieldId="6" dataDxfId="1"/>
    <tableColumn id="7" xr3:uid="{C92C8D09-72C0-4111-BD05-92F4DAED313C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7AB4-709E-4517-9C00-61A30C2EA623}">
  <dimension ref="A1:S208"/>
  <sheetViews>
    <sheetView tabSelected="1" topLeftCell="B5" workbookViewId="0">
      <selection activeCell="I20" sqref="I20"/>
    </sheetView>
  </sheetViews>
  <sheetFormatPr defaultRowHeight="15" x14ac:dyDescent="0.25"/>
  <cols>
    <col min="1" max="1" width="18.5703125" bestFit="1" customWidth="1"/>
    <col min="2" max="2" width="17.7109375" customWidth="1"/>
    <col min="3" max="7" width="13.28515625" customWidth="1"/>
    <col min="8" max="8" width="1.5703125" customWidth="1"/>
    <col min="9" max="9" width="15.42578125" customWidth="1"/>
    <col min="10" max="12" width="11.85546875" customWidth="1"/>
    <col min="15" max="15" width="13.28515625" customWidth="1"/>
    <col min="16" max="16" width="9.5703125" customWidth="1"/>
  </cols>
  <sheetData>
    <row r="1" spans="1:19" ht="29.2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61</v>
      </c>
      <c r="J1" s="1" t="s">
        <v>57</v>
      </c>
      <c r="K1" s="1" t="s">
        <v>58</v>
      </c>
      <c r="L1" s="1" t="s">
        <v>59</v>
      </c>
    </row>
    <row r="2" spans="1:19" ht="15.75" thickBot="1" x14ac:dyDescent="0.3">
      <c r="I2" s="2" t="s">
        <v>8</v>
      </c>
      <c r="J2" s="5">
        <v>2.5</v>
      </c>
      <c r="K2" s="5">
        <v>6</v>
      </c>
      <c r="L2" s="3">
        <v>0</v>
      </c>
    </row>
    <row r="3" spans="1:19" ht="15.75" thickBot="1" x14ac:dyDescent="0.3">
      <c r="I3" s="2" t="s">
        <v>30</v>
      </c>
      <c r="J3" s="5">
        <v>2.5</v>
      </c>
      <c r="L3" s="5">
        <v>10</v>
      </c>
    </row>
    <row r="4" spans="1:19" x14ac:dyDescent="0.25">
      <c r="I4" s="4"/>
      <c r="J4" s="10"/>
      <c r="K4" t="s">
        <v>83</v>
      </c>
      <c r="L4" s="10"/>
      <c r="M4" t="s">
        <v>82</v>
      </c>
    </row>
    <row r="5" spans="1:19" x14ac:dyDescent="0.25">
      <c r="I5" s="11"/>
      <c r="J5" s="12" t="s">
        <v>76</v>
      </c>
      <c r="K5" s="12">
        <v>188749</v>
      </c>
      <c r="L5" s="12" t="s">
        <v>78</v>
      </c>
      <c r="M5" s="12">
        <v>5400</v>
      </c>
      <c r="N5" s="12" t="s">
        <v>78</v>
      </c>
    </row>
    <row r="6" spans="1:19" x14ac:dyDescent="0.25">
      <c r="I6" s="11"/>
      <c r="J6" s="12" t="s">
        <v>77</v>
      </c>
      <c r="K6" s="12">
        <v>2</v>
      </c>
      <c r="L6" s="12" t="s">
        <v>78</v>
      </c>
      <c r="M6" s="12">
        <v>2</v>
      </c>
      <c r="N6" s="12" t="s">
        <v>78</v>
      </c>
    </row>
    <row r="7" spans="1:19" x14ac:dyDescent="0.25">
      <c r="I7" s="11"/>
      <c r="J7" s="13"/>
      <c r="K7" s="12">
        <f>K5/K6</f>
        <v>94374.5</v>
      </c>
      <c r="L7" s="13"/>
      <c r="M7" s="12">
        <f>M5/M6</f>
        <v>2700</v>
      </c>
      <c r="N7" s="13"/>
    </row>
    <row r="8" spans="1:19" x14ac:dyDescent="0.25">
      <c r="I8" s="4"/>
      <c r="J8" t="s">
        <v>83</v>
      </c>
      <c r="L8" s="10"/>
    </row>
    <row r="9" spans="1:19" x14ac:dyDescent="0.25">
      <c r="I9" s="4"/>
      <c r="J9" t="s">
        <v>79</v>
      </c>
      <c r="K9">
        <f>K19*K2*K6/1000000</f>
        <v>1.5763787298987728E-2</v>
      </c>
      <c r="L9">
        <f>L19*J2/1000000</f>
        <v>6.2550000000000001E-3</v>
      </c>
      <c r="N9">
        <f>N19*J3*K6/1000000</f>
        <v>2.4942337551452894E-3</v>
      </c>
      <c r="O9">
        <f>O19*J3/1000000</f>
        <v>2.5574999999999999E-3</v>
      </c>
      <c r="Q9">
        <f>Q19*L3*K6/1000000</f>
        <v>5.0902270168435597E-3</v>
      </c>
      <c r="R9">
        <f>SUM(K9:Q9)</f>
        <v>3.2160748070976575E-2</v>
      </c>
    </row>
    <row r="10" spans="1:19" x14ac:dyDescent="0.25">
      <c r="I10" s="4"/>
      <c r="P10" s="14"/>
      <c r="Q10" s="15" t="s">
        <v>81</v>
      </c>
      <c r="R10" s="16">
        <f>R9*K7</f>
        <v>3035.1545188243786</v>
      </c>
      <c r="S10" t="s">
        <v>86</v>
      </c>
    </row>
    <row r="11" spans="1:19" x14ac:dyDescent="0.25">
      <c r="I11" s="4"/>
    </row>
    <row r="12" spans="1:19" x14ac:dyDescent="0.25">
      <c r="I12" s="4"/>
      <c r="J12" t="s">
        <v>84</v>
      </c>
      <c r="L12" s="10"/>
    </row>
    <row r="13" spans="1:19" x14ac:dyDescent="0.25">
      <c r="I13" s="4"/>
      <c r="J13" t="s">
        <v>79</v>
      </c>
      <c r="K13">
        <f>K19*K2*M6/1000000</f>
        <v>1.5763787298987728E-2</v>
      </c>
      <c r="L13">
        <f>L19*J2/1000000</f>
        <v>6.2550000000000001E-3</v>
      </c>
      <c r="N13">
        <f>N19*J3*M6/1000000</f>
        <v>2.4942337551452894E-3</v>
      </c>
      <c r="O13">
        <f>O19*J3/1000000</f>
        <v>2.5574999999999999E-3</v>
      </c>
      <c r="Q13">
        <f>Q19*L3*M6/1000000</f>
        <v>5.0902270168435597E-3</v>
      </c>
      <c r="R13">
        <f>SUM(K13:Q13)</f>
        <v>3.2160748070976575E-2</v>
      </c>
    </row>
    <row r="14" spans="1:19" x14ac:dyDescent="0.25">
      <c r="I14" s="4"/>
      <c r="P14" s="14"/>
      <c r="Q14" s="15" t="s">
        <v>85</v>
      </c>
      <c r="R14" s="16">
        <f>R13*M7</f>
        <v>86.834019791636749</v>
      </c>
      <c r="S14" t="s">
        <v>86</v>
      </c>
    </row>
    <row r="15" spans="1:19" x14ac:dyDescent="0.25">
      <c r="I15" s="4"/>
    </row>
    <row r="16" spans="1:19" x14ac:dyDescent="0.25">
      <c r="I16" s="4"/>
      <c r="J16" s="10"/>
      <c r="L16" s="10"/>
    </row>
    <row r="17" spans="1:18" ht="30" x14ac:dyDescent="0.25">
      <c r="I17" t="s">
        <v>88</v>
      </c>
      <c r="J17" s="8" t="s">
        <v>62</v>
      </c>
      <c r="K17" s="6" t="s">
        <v>72</v>
      </c>
      <c r="L17" s="6" t="s">
        <v>73</v>
      </c>
      <c r="M17" s="6"/>
      <c r="N17" s="6" t="s">
        <v>74</v>
      </c>
      <c r="O17" s="6" t="s">
        <v>73</v>
      </c>
      <c r="P17" s="6"/>
      <c r="Q17" s="6" t="s">
        <v>75</v>
      </c>
      <c r="R17" s="6"/>
    </row>
    <row r="18" spans="1:18" x14ac:dyDescent="0.25">
      <c r="G18" t="s">
        <v>87</v>
      </c>
      <c r="I18">
        <f>I24+I61+I98+I135+I172</f>
        <v>678</v>
      </c>
      <c r="J18">
        <f>J24+J61+J98+J135+J172</f>
        <v>14713</v>
      </c>
      <c r="K18">
        <f>K24+K61+K98+K135+K172</f>
        <v>6568.2447079115536</v>
      </c>
      <c r="L18" s="10"/>
      <c r="N18">
        <f>N24+N61+N98+N135+N172</f>
        <v>2494.2337551452893</v>
      </c>
      <c r="Q18">
        <f>Q24+Q61+Q98+Q135+Q172</f>
        <v>1272.5567542108899</v>
      </c>
    </row>
    <row r="19" spans="1:18" x14ac:dyDescent="0.25">
      <c r="G19" t="s">
        <v>80</v>
      </c>
      <c r="I19">
        <f>I18/5</f>
        <v>135.6</v>
      </c>
      <c r="J19">
        <f>J18/5</f>
        <v>2942.6</v>
      </c>
      <c r="K19">
        <f>K18/5</f>
        <v>1313.6489415823107</v>
      </c>
      <c r="L19">
        <f>L24</f>
        <v>2502</v>
      </c>
      <c r="N19">
        <f>N18/5</f>
        <v>498.84675102905783</v>
      </c>
      <c r="O19">
        <f>O24</f>
        <v>1023</v>
      </c>
      <c r="Q19">
        <f>Q18/5</f>
        <v>254.51135084217799</v>
      </c>
    </row>
    <row r="22" spans="1:18" x14ac:dyDescent="0.25">
      <c r="A22" t="s">
        <v>11</v>
      </c>
      <c r="B22" t="s">
        <v>12</v>
      </c>
      <c r="C22" t="s">
        <v>9</v>
      </c>
      <c r="D22" t="s">
        <v>9</v>
      </c>
      <c r="E22" t="s">
        <v>9</v>
      </c>
      <c r="F22" t="s">
        <v>9</v>
      </c>
      <c r="G22" t="s">
        <v>9</v>
      </c>
      <c r="J22" s="17" t="s">
        <v>64</v>
      </c>
      <c r="K22" s="17"/>
      <c r="L22" s="17"/>
      <c r="M22" s="17" t="s">
        <v>65</v>
      </c>
      <c r="N22" s="17"/>
      <c r="O22" s="17"/>
      <c r="P22" s="17"/>
      <c r="Q22" s="17"/>
    </row>
    <row r="23" spans="1:18" ht="45" x14ac:dyDescent="0.25">
      <c r="A23" t="s">
        <v>13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I23" t="s">
        <v>88</v>
      </c>
      <c r="J23" s="8" t="s">
        <v>62</v>
      </c>
      <c r="K23" s="9" t="s">
        <v>63</v>
      </c>
      <c r="L23" s="8" t="s">
        <v>71</v>
      </c>
      <c r="M23" s="8" t="s">
        <v>67</v>
      </c>
      <c r="N23" s="8" t="s">
        <v>68</v>
      </c>
      <c r="O23" s="8" t="s">
        <v>69</v>
      </c>
      <c r="P23" s="8" t="s">
        <v>59</v>
      </c>
      <c r="Q23" s="8" t="s">
        <v>70</v>
      </c>
    </row>
    <row r="24" spans="1:18" x14ac:dyDescent="0.25">
      <c r="A24" t="s">
        <v>13</v>
      </c>
      <c r="B24" t="s">
        <v>13</v>
      </c>
      <c r="C24">
        <v>1782</v>
      </c>
      <c r="D24">
        <v>1532</v>
      </c>
      <c r="E24">
        <v>250</v>
      </c>
      <c r="F24">
        <v>837</v>
      </c>
      <c r="G24">
        <v>695</v>
      </c>
      <c r="I24">
        <f>C39</f>
        <v>192</v>
      </c>
      <c r="J24">
        <f>_2025_07_28_13_44_28___stats[[#This Row],[Column7]]+G29+G34</f>
        <v>3833</v>
      </c>
      <c r="K24">
        <f>J24/(I24/60)</f>
        <v>1197.8125</v>
      </c>
      <c r="L24">
        <f>_2025_07_28_13_44_28___stats[[#This Row],[Column6]]+F29+F34</f>
        <v>2502</v>
      </c>
      <c r="M24">
        <f>(E54-C56)</f>
        <v>865</v>
      </c>
      <c r="N24">
        <f>M24/(I24/60)</f>
        <v>270.3125</v>
      </c>
      <c r="O24">
        <f>C56</f>
        <v>1023</v>
      </c>
      <c r="P24">
        <f>D54</f>
        <v>455</v>
      </c>
      <c r="Q24">
        <f>P24/(I24/60)</f>
        <v>142.1875</v>
      </c>
    </row>
    <row r="25" spans="1:18" x14ac:dyDescent="0.25">
      <c r="A25" t="s">
        <v>7</v>
      </c>
      <c r="B25" t="s">
        <v>8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</row>
    <row r="26" spans="1:18" x14ac:dyDescent="0.25">
      <c r="A26" t="s">
        <v>10</v>
      </c>
      <c r="B26" t="s">
        <v>19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</row>
    <row r="27" spans="1:18" x14ac:dyDescent="0.25">
      <c r="A27" t="s">
        <v>11</v>
      </c>
      <c r="B27" t="s">
        <v>20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</row>
    <row r="28" spans="1:18" x14ac:dyDescent="0.25">
      <c r="A28" t="s">
        <v>13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</row>
    <row r="29" spans="1:18" x14ac:dyDescent="0.25">
      <c r="A29" t="s">
        <v>13</v>
      </c>
      <c r="B29" t="s">
        <v>13</v>
      </c>
      <c r="C29">
        <v>2423</v>
      </c>
      <c r="D29">
        <v>2275</v>
      </c>
      <c r="E29">
        <v>148</v>
      </c>
      <c r="F29">
        <v>839</v>
      </c>
      <c r="G29">
        <v>1436</v>
      </c>
    </row>
    <row r="30" spans="1:18" x14ac:dyDescent="0.25">
      <c r="A30" t="s">
        <v>7</v>
      </c>
      <c r="B30" t="s">
        <v>8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</row>
    <row r="31" spans="1:18" x14ac:dyDescent="0.25">
      <c r="A31" t="s">
        <v>10</v>
      </c>
      <c r="B31" t="s">
        <v>21</v>
      </c>
      <c r="C31" t="s">
        <v>9</v>
      </c>
      <c r="D31" t="s">
        <v>9</v>
      </c>
      <c r="E31" t="s">
        <v>9</v>
      </c>
      <c r="F31" t="s">
        <v>9</v>
      </c>
      <c r="G31" t="s">
        <v>9</v>
      </c>
    </row>
    <row r="32" spans="1:18" x14ac:dyDescent="0.25">
      <c r="A32" t="s">
        <v>11</v>
      </c>
      <c r="B32" t="s">
        <v>22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</row>
    <row r="33" spans="1:7" x14ac:dyDescent="0.25">
      <c r="A33" t="s">
        <v>13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</row>
    <row r="34" spans="1:7" x14ac:dyDescent="0.25">
      <c r="A34" t="s">
        <v>13</v>
      </c>
      <c r="B34" t="s">
        <v>13</v>
      </c>
      <c r="C34">
        <v>2928</v>
      </c>
      <c r="D34">
        <v>2528</v>
      </c>
      <c r="E34">
        <v>400</v>
      </c>
      <c r="F34">
        <v>826</v>
      </c>
      <c r="G34">
        <v>1702</v>
      </c>
    </row>
    <row r="35" spans="1:7" x14ac:dyDescent="0.25">
      <c r="A35" t="s">
        <v>7</v>
      </c>
      <c r="B35" t="s">
        <v>23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</row>
    <row r="36" spans="1:7" x14ac:dyDescent="0.25">
      <c r="A36" t="s">
        <v>10</v>
      </c>
      <c r="B36" t="s">
        <v>24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</row>
    <row r="37" spans="1:7" x14ac:dyDescent="0.25">
      <c r="A37" t="s">
        <v>11</v>
      </c>
      <c r="B37" t="s">
        <v>25</v>
      </c>
      <c r="C37" t="s">
        <v>9</v>
      </c>
      <c r="D37" t="s">
        <v>9</v>
      </c>
      <c r="E37" t="s">
        <v>9</v>
      </c>
      <c r="F37" t="s">
        <v>9</v>
      </c>
      <c r="G37" t="s">
        <v>9</v>
      </c>
    </row>
    <row r="38" spans="1:7" x14ac:dyDescent="0.25">
      <c r="A38" t="s">
        <v>13</v>
      </c>
      <c r="B38" t="s">
        <v>13</v>
      </c>
      <c r="C38" t="s">
        <v>26</v>
      </c>
      <c r="D38" t="s">
        <v>9</v>
      </c>
      <c r="E38" t="s">
        <v>9</v>
      </c>
      <c r="F38" t="s">
        <v>9</v>
      </c>
      <c r="G38" t="s">
        <v>9</v>
      </c>
    </row>
    <row r="39" spans="1:7" x14ac:dyDescent="0.25">
      <c r="A39" t="s">
        <v>13</v>
      </c>
      <c r="B39" t="s">
        <v>13</v>
      </c>
      <c r="C39">
        <v>192</v>
      </c>
      <c r="E39" t="s">
        <v>9</v>
      </c>
      <c r="F39" t="s">
        <v>9</v>
      </c>
      <c r="G39" t="s">
        <v>9</v>
      </c>
    </row>
    <row r="40" spans="1:7" x14ac:dyDescent="0.25">
      <c r="A40" t="s">
        <v>7</v>
      </c>
      <c r="B40" t="s">
        <v>23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</row>
    <row r="41" spans="1:7" x14ac:dyDescent="0.25">
      <c r="A41" t="s">
        <v>10</v>
      </c>
      <c r="B41" t="s">
        <v>24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</row>
    <row r="42" spans="1:7" x14ac:dyDescent="0.25">
      <c r="A42" t="s">
        <v>11</v>
      </c>
      <c r="B42" t="s">
        <v>27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</row>
    <row r="43" spans="1:7" x14ac:dyDescent="0.25">
      <c r="A43" t="s">
        <v>13</v>
      </c>
      <c r="B43" t="s">
        <v>13</v>
      </c>
      <c r="C43" t="s">
        <v>26</v>
      </c>
      <c r="D43" t="s">
        <v>9</v>
      </c>
      <c r="E43" t="s">
        <v>9</v>
      </c>
      <c r="F43" t="s">
        <v>9</v>
      </c>
      <c r="G43" t="s">
        <v>9</v>
      </c>
    </row>
    <row r="44" spans="1:7" x14ac:dyDescent="0.25">
      <c r="A44" t="s">
        <v>13</v>
      </c>
      <c r="B44" t="s">
        <v>13</v>
      </c>
      <c r="C44">
        <v>192</v>
      </c>
      <c r="E44" t="s">
        <v>9</v>
      </c>
      <c r="F44" t="s">
        <v>9</v>
      </c>
      <c r="G44" t="s">
        <v>9</v>
      </c>
    </row>
    <row r="45" spans="1:7" x14ac:dyDescent="0.25">
      <c r="A45" t="s">
        <v>7</v>
      </c>
      <c r="B45" t="s">
        <v>23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</row>
    <row r="46" spans="1:7" x14ac:dyDescent="0.25">
      <c r="A46" t="s">
        <v>10</v>
      </c>
      <c r="B46" t="s">
        <v>24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</row>
    <row r="47" spans="1:7" x14ac:dyDescent="0.25">
      <c r="A47" t="s">
        <v>11</v>
      </c>
      <c r="B47" t="s">
        <v>28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</row>
    <row r="48" spans="1:7" x14ac:dyDescent="0.25">
      <c r="A48" t="s">
        <v>13</v>
      </c>
      <c r="B48" t="s">
        <v>13</v>
      </c>
      <c r="C48" t="s">
        <v>26</v>
      </c>
      <c r="D48" t="s">
        <v>9</v>
      </c>
      <c r="E48" t="s">
        <v>9</v>
      </c>
      <c r="F48" t="s">
        <v>9</v>
      </c>
      <c r="G48" t="s">
        <v>9</v>
      </c>
    </row>
    <row r="49" spans="1:17" x14ac:dyDescent="0.25">
      <c r="A49" t="s">
        <v>13</v>
      </c>
      <c r="B49" t="s">
        <v>13</v>
      </c>
      <c r="C49">
        <v>192</v>
      </c>
      <c r="E49" t="s">
        <v>9</v>
      </c>
      <c r="F49" t="s">
        <v>9</v>
      </c>
      <c r="G49" t="s">
        <v>9</v>
      </c>
    </row>
    <row r="50" spans="1:17" x14ac:dyDescent="0.25">
      <c r="A50" t="s">
        <v>29</v>
      </c>
      <c r="B50" t="s">
        <v>30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</row>
    <row r="51" spans="1:17" x14ac:dyDescent="0.25">
      <c r="A51" t="s">
        <v>10</v>
      </c>
      <c r="B51" t="s">
        <v>31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</row>
    <row r="52" spans="1:17" x14ac:dyDescent="0.25">
      <c r="A52" t="s">
        <v>11</v>
      </c>
      <c r="B52" t="s">
        <v>32</v>
      </c>
      <c r="C52" t="s">
        <v>9</v>
      </c>
      <c r="D52" t="s">
        <v>9</v>
      </c>
      <c r="E52" t="s">
        <v>9</v>
      </c>
      <c r="F52" t="s">
        <v>9</v>
      </c>
      <c r="G52" t="s">
        <v>9</v>
      </c>
      <c r="J52" s="18"/>
      <c r="K52" s="18"/>
      <c r="L52" s="7"/>
    </row>
    <row r="53" spans="1:17" x14ac:dyDescent="0.25">
      <c r="A53" t="s">
        <v>13</v>
      </c>
      <c r="B53" t="s">
        <v>13</v>
      </c>
      <c r="C53" t="s">
        <v>14</v>
      </c>
      <c r="D53" t="s">
        <v>33</v>
      </c>
      <c r="E53" t="s">
        <v>34</v>
      </c>
      <c r="F53" t="s">
        <v>9</v>
      </c>
      <c r="G53" t="s">
        <v>9</v>
      </c>
      <c r="J53" s="7"/>
      <c r="K53" s="7"/>
      <c r="L53" s="7"/>
    </row>
    <row r="54" spans="1:17" x14ac:dyDescent="0.25">
      <c r="A54" t="s">
        <v>13</v>
      </c>
      <c r="B54" t="s">
        <v>13</v>
      </c>
      <c r="C54">
        <v>2343</v>
      </c>
      <c r="D54">
        <v>455</v>
      </c>
      <c r="E54">
        <v>1888</v>
      </c>
    </row>
    <row r="55" spans="1:17" x14ac:dyDescent="0.25">
      <c r="A55" t="s">
        <v>13</v>
      </c>
      <c r="B55" t="s">
        <v>13</v>
      </c>
      <c r="C55" t="s">
        <v>35</v>
      </c>
      <c r="D55" t="s">
        <v>9</v>
      </c>
      <c r="E55" t="s">
        <v>9</v>
      </c>
      <c r="F55" t="s">
        <v>9</v>
      </c>
      <c r="G55" t="s">
        <v>9</v>
      </c>
    </row>
    <row r="56" spans="1:17" x14ac:dyDescent="0.25">
      <c r="A56" t="s">
        <v>13</v>
      </c>
      <c r="B56" t="s">
        <v>13</v>
      </c>
      <c r="C56">
        <v>1023</v>
      </c>
      <c r="E56" t="s">
        <v>9</v>
      </c>
      <c r="F56" t="s">
        <v>9</v>
      </c>
      <c r="G56" t="s">
        <v>9</v>
      </c>
    </row>
    <row r="57" spans="1:17" x14ac:dyDescent="0.25">
      <c r="A57" t="s">
        <v>7</v>
      </c>
      <c r="B57" t="s">
        <v>8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</row>
    <row r="58" spans="1:17" x14ac:dyDescent="0.25">
      <c r="A58" t="s">
        <v>10</v>
      </c>
      <c r="B58" t="s">
        <v>36</v>
      </c>
      <c r="C58" t="s">
        <v>9</v>
      </c>
      <c r="D58" t="s">
        <v>9</v>
      </c>
      <c r="E58" t="s">
        <v>9</v>
      </c>
      <c r="F58" t="s">
        <v>9</v>
      </c>
      <c r="G58" t="s">
        <v>9</v>
      </c>
    </row>
    <row r="59" spans="1:17" x14ac:dyDescent="0.25">
      <c r="A59" t="s">
        <v>11</v>
      </c>
      <c r="B59" t="s">
        <v>12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J59" s="17" t="s">
        <v>64</v>
      </c>
      <c r="K59" s="17"/>
      <c r="L59" s="17"/>
      <c r="M59" s="17" t="s">
        <v>65</v>
      </c>
      <c r="N59" s="17"/>
      <c r="O59" s="17"/>
      <c r="P59" s="17"/>
      <c r="Q59" s="17"/>
    </row>
    <row r="60" spans="1:17" ht="30" x14ac:dyDescent="0.25">
      <c r="A60" t="s">
        <v>13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I60" t="s">
        <v>60</v>
      </c>
      <c r="J60" s="8" t="s">
        <v>62</v>
      </c>
      <c r="K60" s="9" t="s">
        <v>63</v>
      </c>
      <c r="L60" s="8" t="s">
        <v>66</v>
      </c>
      <c r="M60" s="8" t="s">
        <v>67</v>
      </c>
      <c r="N60" s="8" t="s">
        <v>68</v>
      </c>
      <c r="O60" s="8" t="s">
        <v>69</v>
      </c>
      <c r="P60" s="8" t="s">
        <v>59</v>
      </c>
      <c r="Q60" s="8" t="s">
        <v>70</v>
      </c>
    </row>
    <row r="61" spans="1:17" x14ac:dyDescent="0.25">
      <c r="A61" t="s">
        <v>13</v>
      </c>
      <c r="B61" t="s">
        <v>13</v>
      </c>
      <c r="C61">
        <v>2196</v>
      </c>
      <c r="D61">
        <v>1736</v>
      </c>
      <c r="E61">
        <v>460</v>
      </c>
      <c r="F61">
        <v>843</v>
      </c>
      <c r="G61">
        <v>893</v>
      </c>
      <c r="I61">
        <f>C76</f>
        <v>116</v>
      </c>
      <c r="J61">
        <f>_2025_07_28_13_44_28___stats[[#This Row],[Column7]]+G66+G71</f>
        <v>2629</v>
      </c>
      <c r="K61">
        <f>J61/(I61/60)</f>
        <v>1359.8275862068965</v>
      </c>
      <c r="L61">
        <f>_2025_07_28_13_44_28___stats[[#This Row],[Column6]]+F66+F71</f>
        <v>2520</v>
      </c>
      <c r="M61">
        <f>(E91-C93)</f>
        <v>1233</v>
      </c>
      <c r="N61">
        <f>M61/(I61/60)</f>
        <v>637.75862068965512</v>
      </c>
      <c r="O61">
        <f>C93</f>
        <v>1023</v>
      </c>
      <c r="P61">
        <f>D91</f>
        <v>617</v>
      </c>
      <c r="Q61">
        <f>P61/(I61/60)</f>
        <v>319.13793103448273</v>
      </c>
    </row>
    <row r="62" spans="1:17" x14ac:dyDescent="0.25">
      <c r="A62" t="s">
        <v>7</v>
      </c>
      <c r="B62" t="s">
        <v>8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</row>
    <row r="63" spans="1:17" x14ac:dyDescent="0.25">
      <c r="A63" t="s">
        <v>10</v>
      </c>
      <c r="B63" t="s">
        <v>37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</row>
    <row r="64" spans="1:17" x14ac:dyDescent="0.25">
      <c r="A64" t="s">
        <v>11</v>
      </c>
      <c r="B64" t="s">
        <v>20</v>
      </c>
      <c r="C64" t="s">
        <v>9</v>
      </c>
      <c r="D64" t="s">
        <v>9</v>
      </c>
      <c r="E64" t="s">
        <v>9</v>
      </c>
      <c r="F64" t="s">
        <v>9</v>
      </c>
      <c r="G64" t="s">
        <v>9</v>
      </c>
    </row>
    <row r="65" spans="1:7" x14ac:dyDescent="0.25">
      <c r="A65" t="s">
        <v>13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</row>
    <row r="66" spans="1:7" x14ac:dyDescent="0.25">
      <c r="A66" t="s">
        <v>13</v>
      </c>
      <c r="B66" t="s">
        <v>13</v>
      </c>
      <c r="C66">
        <v>1571</v>
      </c>
      <c r="D66">
        <v>1454</v>
      </c>
      <c r="E66">
        <v>117</v>
      </c>
      <c r="F66">
        <v>845</v>
      </c>
      <c r="G66">
        <v>609</v>
      </c>
    </row>
    <row r="67" spans="1:7" x14ac:dyDescent="0.25">
      <c r="A67" t="s">
        <v>7</v>
      </c>
      <c r="B67" t="s">
        <v>8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</row>
    <row r="68" spans="1:7" x14ac:dyDescent="0.25">
      <c r="A68" t="s">
        <v>10</v>
      </c>
      <c r="B68" t="s">
        <v>38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</row>
    <row r="69" spans="1:7" x14ac:dyDescent="0.25">
      <c r="A69" t="s">
        <v>11</v>
      </c>
      <c r="B69" t="s">
        <v>22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</row>
    <row r="70" spans="1:7" x14ac:dyDescent="0.25">
      <c r="A70" t="s">
        <v>13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</row>
    <row r="71" spans="1:7" x14ac:dyDescent="0.25">
      <c r="A71" t="s">
        <v>13</v>
      </c>
      <c r="B71" t="s">
        <v>13</v>
      </c>
      <c r="C71">
        <v>2528</v>
      </c>
      <c r="D71">
        <v>1959</v>
      </c>
      <c r="E71">
        <v>569</v>
      </c>
      <c r="F71">
        <v>832</v>
      </c>
      <c r="G71">
        <v>1127</v>
      </c>
    </row>
    <row r="72" spans="1:7" x14ac:dyDescent="0.25">
      <c r="A72" t="s">
        <v>7</v>
      </c>
      <c r="B72" t="s">
        <v>23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</row>
    <row r="73" spans="1:7" x14ac:dyDescent="0.25">
      <c r="A73" t="s">
        <v>10</v>
      </c>
      <c r="B73" t="s">
        <v>39</v>
      </c>
      <c r="C73" t="s">
        <v>9</v>
      </c>
      <c r="D73" t="s">
        <v>9</v>
      </c>
      <c r="E73" t="s">
        <v>9</v>
      </c>
      <c r="F73" t="s">
        <v>9</v>
      </c>
      <c r="G73" t="s">
        <v>9</v>
      </c>
    </row>
    <row r="74" spans="1:7" x14ac:dyDescent="0.25">
      <c r="A74" t="s">
        <v>11</v>
      </c>
      <c r="B74" t="s">
        <v>25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</row>
    <row r="75" spans="1:7" x14ac:dyDescent="0.25">
      <c r="A75" t="s">
        <v>13</v>
      </c>
      <c r="B75" t="s">
        <v>13</v>
      </c>
      <c r="C75" t="s">
        <v>26</v>
      </c>
      <c r="D75" t="s">
        <v>9</v>
      </c>
      <c r="E75" t="s">
        <v>9</v>
      </c>
      <c r="F75" t="s">
        <v>9</v>
      </c>
      <c r="G75" t="s">
        <v>9</v>
      </c>
    </row>
    <row r="76" spans="1:7" x14ac:dyDescent="0.25">
      <c r="A76" t="s">
        <v>13</v>
      </c>
      <c r="B76" t="s">
        <v>13</v>
      </c>
      <c r="C76">
        <v>116</v>
      </c>
      <c r="E76" t="s">
        <v>9</v>
      </c>
      <c r="F76" t="s">
        <v>9</v>
      </c>
      <c r="G76" t="s">
        <v>9</v>
      </c>
    </row>
    <row r="77" spans="1:7" x14ac:dyDescent="0.25">
      <c r="A77" t="s">
        <v>7</v>
      </c>
      <c r="B77" t="s">
        <v>23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</row>
    <row r="78" spans="1:7" x14ac:dyDescent="0.25">
      <c r="A78" t="s">
        <v>10</v>
      </c>
      <c r="B78" t="s">
        <v>39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</row>
    <row r="79" spans="1:7" x14ac:dyDescent="0.25">
      <c r="A79" t="s">
        <v>11</v>
      </c>
      <c r="B79" t="s">
        <v>27</v>
      </c>
      <c r="C79" t="s">
        <v>9</v>
      </c>
      <c r="D79" t="s">
        <v>9</v>
      </c>
      <c r="E79" t="s">
        <v>9</v>
      </c>
      <c r="F79" t="s">
        <v>9</v>
      </c>
      <c r="G79" t="s">
        <v>9</v>
      </c>
    </row>
    <row r="80" spans="1:7" x14ac:dyDescent="0.25">
      <c r="A80" t="s">
        <v>13</v>
      </c>
      <c r="B80" t="s">
        <v>13</v>
      </c>
      <c r="C80" t="s">
        <v>26</v>
      </c>
      <c r="D80" t="s">
        <v>9</v>
      </c>
      <c r="E80" t="s">
        <v>9</v>
      </c>
      <c r="F80" t="s">
        <v>9</v>
      </c>
      <c r="G80" t="s">
        <v>9</v>
      </c>
    </row>
    <row r="81" spans="1:17" x14ac:dyDescent="0.25">
      <c r="A81" t="s">
        <v>13</v>
      </c>
      <c r="B81" t="s">
        <v>13</v>
      </c>
      <c r="C81">
        <v>116</v>
      </c>
      <c r="E81" t="s">
        <v>9</v>
      </c>
      <c r="F81" t="s">
        <v>9</v>
      </c>
      <c r="G81" t="s">
        <v>9</v>
      </c>
    </row>
    <row r="82" spans="1:17" x14ac:dyDescent="0.25">
      <c r="A82" t="s">
        <v>7</v>
      </c>
      <c r="B82" t="s">
        <v>23</v>
      </c>
      <c r="C82" t="s">
        <v>9</v>
      </c>
      <c r="D82" t="s">
        <v>9</v>
      </c>
      <c r="E82" t="s">
        <v>9</v>
      </c>
      <c r="F82" t="s">
        <v>9</v>
      </c>
      <c r="G82" t="s">
        <v>9</v>
      </c>
    </row>
    <row r="83" spans="1:17" x14ac:dyDescent="0.25">
      <c r="A83" t="s">
        <v>10</v>
      </c>
      <c r="B83" t="s">
        <v>39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</row>
    <row r="84" spans="1:17" x14ac:dyDescent="0.25">
      <c r="A84" t="s">
        <v>11</v>
      </c>
      <c r="B84" t="s">
        <v>28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</row>
    <row r="85" spans="1:17" x14ac:dyDescent="0.25">
      <c r="A85" t="s">
        <v>13</v>
      </c>
      <c r="B85" t="s">
        <v>13</v>
      </c>
      <c r="C85" t="s">
        <v>26</v>
      </c>
      <c r="D85" t="s">
        <v>9</v>
      </c>
      <c r="E85" t="s">
        <v>9</v>
      </c>
      <c r="F85" t="s">
        <v>9</v>
      </c>
      <c r="G85" t="s">
        <v>9</v>
      </c>
    </row>
    <row r="86" spans="1:17" x14ac:dyDescent="0.25">
      <c r="A86" t="s">
        <v>13</v>
      </c>
      <c r="B86" t="s">
        <v>13</v>
      </c>
      <c r="C86">
        <v>116</v>
      </c>
      <c r="D86" t="s">
        <v>9</v>
      </c>
      <c r="E86" t="s">
        <v>9</v>
      </c>
      <c r="F86" t="s">
        <v>9</v>
      </c>
      <c r="G86" t="s">
        <v>9</v>
      </c>
    </row>
    <row r="87" spans="1:17" x14ac:dyDescent="0.25">
      <c r="A87" t="s">
        <v>29</v>
      </c>
      <c r="B87" t="s">
        <v>30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</row>
    <row r="88" spans="1:17" x14ac:dyDescent="0.25">
      <c r="A88" t="s">
        <v>10</v>
      </c>
      <c r="B88" t="s">
        <v>40</v>
      </c>
      <c r="C88" t="s">
        <v>9</v>
      </c>
      <c r="D88" t="s">
        <v>9</v>
      </c>
      <c r="E88" t="s">
        <v>9</v>
      </c>
      <c r="F88" t="s">
        <v>9</v>
      </c>
      <c r="G88" t="s">
        <v>9</v>
      </c>
    </row>
    <row r="89" spans="1:17" x14ac:dyDescent="0.25">
      <c r="A89" t="s">
        <v>11</v>
      </c>
      <c r="B89" t="s">
        <v>32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</row>
    <row r="90" spans="1:17" x14ac:dyDescent="0.25">
      <c r="A90" t="s">
        <v>13</v>
      </c>
      <c r="B90" t="s">
        <v>13</v>
      </c>
      <c r="C90" t="s">
        <v>14</v>
      </c>
      <c r="D90" t="s">
        <v>33</v>
      </c>
      <c r="E90" t="s">
        <v>34</v>
      </c>
      <c r="F90" t="s">
        <v>9</v>
      </c>
      <c r="G90" t="s">
        <v>9</v>
      </c>
    </row>
    <row r="91" spans="1:17" x14ac:dyDescent="0.25">
      <c r="A91" t="s">
        <v>13</v>
      </c>
      <c r="B91" t="s">
        <v>13</v>
      </c>
      <c r="C91">
        <v>2873</v>
      </c>
      <c r="D91">
        <v>617</v>
      </c>
      <c r="E91">
        <v>2256</v>
      </c>
    </row>
    <row r="92" spans="1:17" x14ac:dyDescent="0.25">
      <c r="A92" t="s">
        <v>13</v>
      </c>
      <c r="B92" t="s">
        <v>13</v>
      </c>
      <c r="C92" t="s">
        <v>35</v>
      </c>
      <c r="D92" t="s">
        <v>9</v>
      </c>
      <c r="E92" t="s">
        <v>9</v>
      </c>
      <c r="F92" t="s">
        <v>9</v>
      </c>
      <c r="G92" t="s">
        <v>9</v>
      </c>
    </row>
    <row r="93" spans="1:17" x14ac:dyDescent="0.25">
      <c r="A93" t="s">
        <v>13</v>
      </c>
      <c r="B93" t="s">
        <v>13</v>
      </c>
      <c r="C93">
        <v>1023</v>
      </c>
      <c r="E93" t="s">
        <v>9</v>
      </c>
      <c r="F93" t="s">
        <v>9</v>
      </c>
      <c r="G93" t="s">
        <v>9</v>
      </c>
    </row>
    <row r="94" spans="1:17" x14ac:dyDescent="0.25">
      <c r="A94" t="s">
        <v>7</v>
      </c>
      <c r="B94" t="s">
        <v>8</v>
      </c>
      <c r="C94" t="s">
        <v>9</v>
      </c>
      <c r="D94" t="s">
        <v>9</v>
      </c>
      <c r="E94" t="s">
        <v>9</v>
      </c>
      <c r="F94" t="s">
        <v>9</v>
      </c>
      <c r="G94" t="s">
        <v>9</v>
      </c>
    </row>
    <row r="95" spans="1:17" x14ac:dyDescent="0.25">
      <c r="A95" t="s">
        <v>10</v>
      </c>
      <c r="B95" t="s">
        <v>41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</row>
    <row r="96" spans="1:17" x14ac:dyDescent="0.25">
      <c r="A96" t="s">
        <v>11</v>
      </c>
      <c r="B96" t="s">
        <v>12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J96" s="17" t="s">
        <v>64</v>
      </c>
      <c r="K96" s="17"/>
      <c r="L96" s="17"/>
      <c r="M96" s="17" t="s">
        <v>65</v>
      </c>
      <c r="N96" s="17"/>
      <c r="O96" s="17"/>
      <c r="P96" s="17"/>
      <c r="Q96" s="17"/>
    </row>
    <row r="97" spans="1:17" ht="30" x14ac:dyDescent="0.25">
      <c r="A97" t="s">
        <v>13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60</v>
      </c>
      <c r="J97" s="8" t="s">
        <v>62</v>
      </c>
      <c r="K97" s="9" t="s">
        <v>63</v>
      </c>
      <c r="L97" s="8" t="s">
        <v>66</v>
      </c>
      <c r="M97" s="8" t="s">
        <v>67</v>
      </c>
      <c r="N97" s="8" t="s">
        <v>68</v>
      </c>
      <c r="O97" s="8" t="s">
        <v>69</v>
      </c>
      <c r="P97" s="8" t="s">
        <v>59</v>
      </c>
      <c r="Q97" s="8" t="s">
        <v>70</v>
      </c>
    </row>
    <row r="98" spans="1:17" x14ac:dyDescent="0.25">
      <c r="A98" t="s">
        <v>13</v>
      </c>
      <c r="B98" t="s">
        <v>13</v>
      </c>
      <c r="C98">
        <v>2029</v>
      </c>
      <c r="D98">
        <v>1724</v>
      </c>
      <c r="E98">
        <v>305</v>
      </c>
      <c r="F98">
        <v>754</v>
      </c>
      <c r="G98">
        <v>970</v>
      </c>
      <c r="I98">
        <f>C113</f>
        <v>137</v>
      </c>
      <c r="J98">
        <f>_2025_07_28_13_44_28___stats[[#This Row],[Column7]]+G103+G108</f>
        <v>3526</v>
      </c>
      <c r="K98">
        <f>J98/(I98/60)</f>
        <v>1544.2335766423359</v>
      </c>
      <c r="L98">
        <f>_2025_07_28_13_44_28___stats[[#This Row],[Column6]]+F103+F108</f>
        <v>2253</v>
      </c>
      <c r="M98">
        <f>(E128-C130)</f>
        <v>1419</v>
      </c>
      <c r="N98">
        <f>M98/(I98/60)</f>
        <v>621.45985401459859</v>
      </c>
      <c r="O98">
        <f>C130</f>
        <v>1023</v>
      </c>
      <c r="P98">
        <f>D128</f>
        <v>679</v>
      </c>
      <c r="Q98">
        <f>P98/(I98/60)</f>
        <v>297.37226277372264</v>
      </c>
    </row>
    <row r="99" spans="1:17" x14ac:dyDescent="0.25">
      <c r="A99" t="s">
        <v>7</v>
      </c>
      <c r="B99" t="s">
        <v>8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</row>
    <row r="100" spans="1:17" x14ac:dyDescent="0.25">
      <c r="A100" t="s">
        <v>10</v>
      </c>
      <c r="B100" t="s">
        <v>42</v>
      </c>
      <c r="C100" t="s">
        <v>9</v>
      </c>
      <c r="D100" t="s">
        <v>9</v>
      </c>
      <c r="E100" t="s">
        <v>9</v>
      </c>
      <c r="F100" t="s">
        <v>9</v>
      </c>
      <c r="G100" t="s">
        <v>9</v>
      </c>
    </row>
    <row r="101" spans="1:17" x14ac:dyDescent="0.25">
      <c r="A101" t="s">
        <v>11</v>
      </c>
      <c r="B101" t="s">
        <v>20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</row>
    <row r="102" spans="1:17" x14ac:dyDescent="0.25">
      <c r="A102" t="s">
        <v>13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</row>
    <row r="103" spans="1:17" x14ac:dyDescent="0.25">
      <c r="A103" t="s">
        <v>13</v>
      </c>
      <c r="B103" t="s">
        <v>13</v>
      </c>
      <c r="C103">
        <v>2354</v>
      </c>
      <c r="D103">
        <v>1951</v>
      </c>
      <c r="E103">
        <v>403</v>
      </c>
      <c r="F103">
        <v>756</v>
      </c>
      <c r="G103">
        <v>1195</v>
      </c>
    </row>
    <row r="104" spans="1:17" x14ac:dyDescent="0.25">
      <c r="A104" t="s">
        <v>7</v>
      </c>
      <c r="B104" t="s">
        <v>8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</row>
    <row r="105" spans="1:17" x14ac:dyDescent="0.25">
      <c r="A105" t="s">
        <v>10</v>
      </c>
      <c r="B105" t="s">
        <v>43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</row>
    <row r="106" spans="1:17" x14ac:dyDescent="0.25">
      <c r="A106" t="s">
        <v>11</v>
      </c>
      <c r="B106" t="s">
        <v>22</v>
      </c>
      <c r="C106" t="s">
        <v>9</v>
      </c>
      <c r="D106" t="s">
        <v>9</v>
      </c>
      <c r="E106" t="s">
        <v>9</v>
      </c>
      <c r="F106" t="s">
        <v>9</v>
      </c>
      <c r="G106" t="s">
        <v>9</v>
      </c>
    </row>
    <row r="107" spans="1:17" x14ac:dyDescent="0.25">
      <c r="A107" t="s">
        <v>13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</row>
    <row r="108" spans="1:17" x14ac:dyDescent="0.25">
      <c r="A108" t="s">
        <v>13</v>
      </c>
      <c r="B108" t="s">
        <v>13</v>
      </c>
      <c r="C108">
        <v>2702</v>
      </c>
      <c r="D108">
        <v>2104</v>
      </c>
      <c r="E108">
        <v>598</v>
      </c>
      <c r="F108">
        <v>743</v>
      </c>
      <c r="G108">
        <v>1361</v>
      </c>
    </row>
    <row r="109" spans="1:17" x14ac:dyDescent="0.25">
      <c r="A109" t="s">
        <v>7</v>
      </c>
      <c r="B109" t="s">
        <v>23</v>
      </c>
      <c r="C109" t="s">
        <v>9</v>
      </c>
      <c r="D109" t="s">
        <v>9</v>
      </c>
      <c r="E109" t="s">
        <v>9</v>
      </c>
      <c r="F109" t="s">
        <v>9</v>
      </c>
      <c r="G109" t="s">
        <v>9</v>
      </c>
    </row>
    <row r="110" spans="1:17" x14ac:dyDescent="0.25">
      <c r="A110" t="s">
        <v>10</v>
      </c>
      <c r="B110" t="s">
        <v>44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</row>
    <row r="111" spans="1:17" x14ac:dyDescent="0.25">
      <c r="A111" t="s">
        <v>11</v>
      </c>
      <c r="B111" t="s">
        <v>25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</row>
    <row r="112" spans="1:17" x14ac:dyDescent="0.25">
      <c r="A112" t="s">
        <v>13</v>
      </c>
      <c r="B112" t="s">
        <v>13</v>
      </c>
      <c r="C112" t="s">
        <v>26</v>
      </c>
      <c r="D112" t="s">
        <v>9</v>
      </c>
      <c r="E112" t="s">
        <v>9</v>
      </c>
      <c r="F112" t="s">
        <v>9</v>
      </c>
      <c r="G112" t="s">
        <v>9</v>
      </c>
    </row>
    <row r="113" spans="1:7" x14ac:dyDescent="0.25">
      <c r="A113" t="s">
        <v>13</v>
      </c>
      <c r="B113" t="s">
        <v>13</v>
      </c>
      <c r="C113">
        <v>137</v>
      </c>
      <c r="E113" t="s">
        <v>9</v>
      </c>
      <c r="F113" t="s">
        <v>9</v>
      </c>
      <c r="G113" t="s">
        <v>9</v>
      </c>
    </row>
    <row r="114" spans="1:7" x14ac:dyDescent="0.25">
      <c r="A114" t="s">
        <v>7</v>
      </c>
      <c r="B114" t="s">
        <v>23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</row>
    <row r="115" spans="1:7" x14ac:dyDescent="0.25">
      <c r="A115" t="s">
        <v>10</v>
      </c>
      <c r="B115" t="s">
        <v>44</v>
      </c>
      <c r="C115" t="s">
        <v>9</v>
      </c>
      <c r="D115" t="s">
        <v>9</v>
      </c>
      <c r="E115" t="s">
        <v>9</v>
      </c>
      <c r="F115" t="s">
        <v>9</v>
      </c>
      <c r="G115" t="s">
        <v>9</v>
      </c>
    </row>
    <row r="116" spans="1:7" x14ac:dyDescent="0.25">
      <c r="A116" t="s">
        <v>11</v>
      </c>
      <c r="B116" t="s">
        <v>27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</row>
    <row r="117" spans="1:7" x14ac:dyDescent="0.25">
      <c r="A117" t="s">
        <v>13</v>
      </c>
      <c r="B117" t="s">
        <v>13</v>
      </c>
      <c r="C117" t="s">
        <v>26</v>
      </c>
      <c r="D117" t="s">
        <v>9</v>
      </c>
      <c r="E117" t="s">
        <v>9</v>
      </c>
      <c r="F117" t="s">
        <v>9</v>
      </c>
      <c r="G117" t="s">
        <v>9</v>
      </c>
    </row>
    <row r="118" spans="1:7" x14ac:dyDescent="0.25">
      <c r="A118" t="s">
        <v>13</v>
      </c>
      <c r="B118" t="s">
        <v>13</v>
      </c>
      <c r="C118">
        <v>137</v>
      </c>
      <c r="E118" t="s">
        <v>9</v>
      </c>
      <c r="F118" t="s">
        <v>9</v>
      </c>
      <c r="G118" t="s">
        <v>9</v>
      </c>
    </row>
    <row r="119" spans="1:7" x14ac:dyDescent="0.25">
      <c r="A119" t="s">
        <v>7</v>
      </c>
      <c r="B119" t="s">
        <v>23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</row>
    <row r="120" spans="1:7" x14ac:dyDescent="0.25">
      <c r="A120" t="s">
        <v>10</v>
      </c>
      <c r="B120" t="s">
        <v>44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</row>
    <row r="121" spans="1:7" x14ac:dyDescent="0.25">
      <c r="A121" t="s">
        <v>11</v>
      </c>
      <c r="B121" t="s">
        <v>28</v>
      </c>
      <c r="C121" t="s">
        <v>9</v>
      </c>
      <c r="D121" t="s">
        <v>9</v>
      </c>
      <c r="E121" t="s">
        <v>9</v>
      </c>
      <c r="F121" t="s">
        <v>9</v>
      </c>
      <c r="G121" t="s">
        <v>9</v>
      </c>
    </row>
    <row r="122" spans="1:7" x14ac:dyDescent="0.25">
      <c r="A122" t="s">
        <v>13</v>
      </c>
      <c r="B122" t="s">
        <v>13</v>
      </c>
      <c r="C122" t="s">
        <v>26</v>
      </c>
      <c r="D122" t="s">
        <v>9</v>
      </c>
      <c r="E122" t="s">
        <v>9</v>
      </c>
      <c r="F122" t="s">
        <v>9</v>
      </c>
      <c r="G122" t="s">
        <v>9</v>
      </c>
    </row>
    <row r="123" spans="1:7" x14ac:dyDescent="0.25">
      <c r="A123" t="s">
        <v>13</v>
      </c>
      <c r="B123" t="s">
        <v>13</v>
      </c>
      <c r="C123">
        <v>137</v>
      </c>
      <c r="E123" t="s">
        <v>9</v>
      </c>
      <c r="F123" t="s">
        <v>9</v>
      </c>
      <c r="G123" t="s">
        <v>9</v>
      </c>
    </row>
    <row r="124" spans="1:7" x14ac:dyDescent="0.25">
      <c r="A124" t="s">
        <v>29</v>
      </c>
      <c r="B124" t="s">
        <v>30</v>
      </c>
      <c r="C124" t="s">
        <v>9</v>
      </c>
      <c r="D124" t="s">
        <v>9</v>
      </c>
      <c r="E124" t="s">
        <v>9</v>
      </c>
      <c r="F124" t="s">
        <v>9</v>
      </c>
      <c r="G124" t="s">
        <v>9</v>
      </c>
    </row>
    <row r="125" spans="1:7" x14ac:dyDescent="0.25">
      <c r="A125" t="s">
        <v>10</v>
      </c>
      <c r="B125" t="s">
        <v>45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</row>
    <row r="126" spans="1:7" x14ac:dyDescent="0.25">
      <c r="A126" t="s">
        <v>11</v>
      </c>
      <c r="B126" t="s">
        <v>32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</row>
    <row r="127" spans="1:7" x14ac:dyDescent="0.25">
      <c r="A127" t="s">
        <v>13</v>
      </c>
      <c r="B127" t="s">
        <v>13</v>
      </c>
      <c r="C127" t="s">
        <v>14</v>
      </c>
      <c r="D127" t="s">
        <v>33</v>
      </c>
      <c r="E127" t="s">
        <v>34</v>
      </c>
      <c r="F127" t="s">
        <v>9</v>
      </c>
      <c r="G127" t="s">
        <v>9</v>
      </c>
    </row>
    <row r="128" spans="1:7" x14ac:dyDescent="0.25">
      <c r="A128" t="s">
        <v>13</v>
      </c>
      <c r="B128" t="s">
        <v>13</v>
      </c>
      <c r="C128">
        <v>3121</v>
      </c>
      <c r="D128">
        <v>679</v>
      </c>
      <c r="E128">
        <v>2442</v>
      </c>
    </row>
    <row r="129" spans="1:17" x14ac:dyDescent="0.25">
      <c r="A129" t="s">
        <v>13</v>
      </c>
      <c r="B129" t="s">
        <v>13</v>
      </c>
      <c r="C129" t="s">
        <v>35</v>
      </c>
      <c r="D129" t="s">
        <v>9</v>
      </c>
      <c r="E129" t="s">
        <v>9</v>
      </c>
      <c r="F129" t="s">
        <v>9</v>
      </c>
      <c r="G129" t="s">
        <v>9</v>
      </c>
    </row>
    <row r="130" spans="1:17" x14ac:dyDescent="0.25">
      <c r="A130" t="s">
        <v>13</v>
      </c>
      <c r="B130" t="s">
        <v>13</v>
      </c>
      <c r="C130">
        <v>1023</v>
      </c>
      <c r="E130" t="s">
        <v>9</v>
      </c>
      <c r="F130" t="s">
        <v>9</v>
      </c>
      <c r="G130" t="s">
        <v>9</v>
      </c>
    </row>
    <row r="131" spans="1:17" x14ac:dyDescent="0.25">
      <c r="A131" t="s">
        <v>7</v>
      </c>
      <c r="B131" t="s">
        <v>8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</row>
    <row r="132" spans="1:17" x14ac:dyDescent="0.25">
      <c r="A132" t="s">
        <v>10</v>
      </c>
      <c r="B132" t="s">
        <v>46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</row>
    <row r="133" spans="1:17" x14ac:dyDescent="0.25">
      <c r="A133" t="s">
        <v>11</v>
      </c>
      <c r="B133" t="s">
        <v>12</v>
      </c>
      <c r="C133" t="s">
        <v>9</v>
      </c>
      <c r="D133" t="s">
        <v>9</v>
      </c>
      <c r="E133" t="s">
        <v>9</v>
      </c>
      <c r="F133" t="s">
        <v>9</v>
      </c>
      <c r="G133" t="s">
        <v>9</v>
      </c>
      <c r="J133" s="17" t="s">
        <v>64</v>
      </c>
      <c r="K133" s="17"/>
      <c r="L133" s="17"/>
      <c r="M133" s="17" t="s">
        <v>65</v>
      </c>
      <c r="N133" s="17"/>
      <c r="O133" s="17"/>
      <c r="P133" s="17"/>
      <c r="Q133" s="17"/>
    </row>
    <row r="134" spans="1:17" ht="30" x14ac:dyDescent="0.25">
      <c r="A134" t="s">
        <v>13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I134" t="s">
        <v>60</v>
      </c>
      <c r="J134" s="8" t="s">
        <v>62</v>
      </c>
      <c r="K134" s="9" t="s">
        <v>63</v>
      </c>
      <c r="L134" s="8" t="s">
        <v>66</v>
      </c>
      <c r="M134" s="8" t="s">
        <v>67</v>
      </c>
      <c r="N134" s="8" t="s">
        <v>68</v>
      </c>
      <c r="O134" s="8" t="s">
        <v>69</v>
      </c>
      <c r="P134" s="8" t="s">
        <v>59</v>
      </c>
      <c r="Q134" s="8" t="s">
        <v>70</v>
      </c>
    </row>
    <row r="135" spans="1:17" x14ac:dyDescent="0.25">
      <c r="A135" t="s">
        <v>13</v>
      </c>
      <c r="B135" t="s">
        <v>13</v>
      </c>
      <c r="C135">
        <v>1814</v>
      </c>
      <c r="D135">
        <v>1519</v>
      </c>
      <c r="E135">
        <v>295</v>
      </c>
      <c r="F135">
        <v>801</v>
      </c>
      <c r="G135">
        <v>718</v>
      </c>
      <c r="I135">
        <f>C150</f>
        <v>84</v>
      </c>
      <c r="J135">
        <f>_2025_07_28_13_44_28___stats[[#This Row],[Column7]]+G140+G145</f>
        <v>1809</v>
      </c>
      <c r="K135">
        <f>J135/(I135/60)</f>
        <v>1292.1428571428573</v>
      </c>
      <c r="L135">
        <f>_2025_07_28_13_44_28___stats[[#This Row],[Column6]]+F140+F145</f>
        <v>2394</v>
      </c>
      <c r="M135">
        <f>(E165-C167)</f>
        <v>669</v>
      </c>
      <c r="N135">
        <f>M135/(I135/60)</f>
        <v>477.85714285714289</v>
      </c>
      <c r="O135">
        <f>C167</f>
        <v>1023</v>
      </c>
      <c r="P135">
        <f>D165</f>
        <v>371</v>
      </c>
      <c r="Q135">
        <f>P135/(I135/60)</f>
        <v>265</v>
      </c>
    </row>
    <row r="136" spans="1:17" x14ac:dyDescent="0.25">
      <c r="A136" t="s">
        <v>7</v>
      </c>
      <c r="B136" t="s">
        <v>8</v>
      </c>
      <c r="C136" t="s">
        <v>9</v>
      </c>
      <c r="D136" t="s">
        <v>9</v>
      </c>
      <c r="E136" t="s">
        <v>9</v>
      </c>
      <c r="F136" t="s">
        <v>9</v>
      </c>
      <c r="G136" t="s">
        <v>9</v>
      </c>
    </row>
    <row r="137" spans="1:17" x14ac:dyDescent="0.25">
      <c r="A137" t="s">
        <v>10</v>
      </c>
      <c r="B137" t="s">
        <v>47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</row>
    <row r="138" spans="1:17" x14ac:dyDescent="0.25">
      <c r="A138" t="s">
        <v>11</v>
      </c>
      <c r="B138" t="s">
        <v>20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</row>
    <row r="139" spans="1:17" x14ac:dyDescent="0.25">
      <c r="A139" t="s">
        <v>13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</row>
    <row r="140" spans="1:17" x14ac:dyDescent="0.25">
      <c r="A140" t="s">
        <v>13</v>
      </c>
      <c r="B140" t="s">
        <v>13</v>
      </c>
      <c r="C140">
        <v>1098</v>
      </c>
      <c r="D140">
        <v>1088</v>
      </c>
      <c r="E140">
        <v>10</v>
      </c>
      <c r="F140">
        <v>803</v>
      </c>
      <c r="G140">
        <v>285</v>
      </c>
    </row>
    <row r="141" spans="1:17" x14ac:dyDescent="0.25">
      <c r="A141" t="s">
        <v>7</v>
      </c>
      <c r="B141" t="s">
        <v>8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</row>
    <row r="142" spans="1:17" x14ac:dyDescent="0.25">
      <c r="A142" t="s">
        <v>10</v>
      </c>
      <c r="B142" t="s">
        <v>48</v>
      </c>
      <c r="C142" t="s">
        <v>9</v>
      </c>
      <c r="D142" t="s">
        <v>9</v>
      </c>
      <c r="E142" t="s">
        <v>9</v>
      </c>
      <c r="F142" t="s">
        <v>9</v>
      </c>
      <c r="G142" t="s">
        <v>9</v>
      </c>
    </row>
    <row r="143" spans="1:17" x14ac:dyDescent="0.25">
      <c r="A143" t="s">
        <v>11</v>
      </c>
      <c r="B143" t="s">
        <v>22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</row>
    <row r="144" spans="1:17" x14ac:dyDescent="0.25">
      <c r="A144" t="s">
        <v>13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</row>
    <row r="145" spans="1:7" x14ac:dyDescent="0.25">
      <c r="A145" t="s">
        <v>13</v>
      </c>
      <c r="B145" t="s">
        <v>13</v>
      </c>
      <c r="C145">
        <v>1915</v>
      </c>
      <c r="D145">
        <v>1596</v>
      </c>
      <c r="E145">
        <v>319</v>
      </c>
      <c r="F145">
        <v>790</v>
      </c>
      <c r="G145">
        <v>806</v>
      </c>
    </row>
    <row r="146" spans="1:7" x14ac:dyDescent="0.25">
      <c r="A146" t="s">
        <v>7</v>
      </c>
      <c r="B146" t="s">
        <v>23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</row>
    <row r="147" spans="1:7" x14ac:dyDescent="0.25">
      <c r="A147" t="s">
        <v>10</v>
      </c>
      <c r="B147" t="s">
        <v>49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</row>
    <row r="148" spans="1:7" x14ac:dyDescent="0.25">
      <c r="A148" t="s">
        <v>11</v>
      </c>
      <c r="B148" t="s">
        <v>25</v>
      </c>
      <c r="C148" t="s">
        <v>9</v>
      </c>
      <c r="D148" t="s">
        <v>9</v>
      </c>
      <c r="E148" t="s">
        <v>9</v>
      </c>
      <c r="F148" t="s">
        <v>9</v>
      </c>
      <c r="G148" t="s">
        <v>9</v>
      </c>
    </row>
    <row r="149" spans="1:7" x14ac:dyDescent="0.25">
      <c r="A149" t="s">
        <v>13</v>
      </c>
      <c r="B149" t="s">
        <v>13</v>
      </c>
      <c r="C149" t="s">
        <v>26</v>
      </c>
      <c r="D149" t="s">
        <v>9</v>
      </c>
      <c r="E149" t="s">
        <v>9</v>
      </c>
      <c r="F149" t="s">
        <v>9</v>
      </c>
      <c r="G149" t="s">
        <v>9</v>
      </c>
    </row>
    <row r="150" spans="1:7" x14ac:dyDescent="0.25">
      <c r="A150" t="s">
        <v>13</v>
      </c>
      <c r="B150" t="s">
        <v>13</v>
      </c>
      <c r="C150">
        <v>84</v>
      </c>
      <c r="E150" t="s">
        <v>9</v>
      </c>
      <c r="F150" t="s">
        <v>9</v>
      </c>
      <c r="G150" t="s">
        <v>9</v>
      </c>
    </row>
    <row r="151" spans="1:7" x14ac:dyDescent="0.25">
      <c r="A151" t="s">
        <v>7</v>
      </c>
      <c r="B151" t="s">
        <v>23</v>
      </c>
      <c r="C151" t="s">
        <v>9</v>
      </c>
      <c r="D151" t="s">
        <v>9</v>
      </c>
      <c r="E151" t="s">
        <v>9</v>
      </c>
      <c r="F151" t="s">
        <v>9</v>
      </c>
      <c r="G151" t="s">
        <v>9</v>
      </c>
    </row>
    <row r="152" spans="1:7" x14ac:dyDescent="0.25">
      <c r="A152" t="s">
        <v>10</v>
      </c>
      <c r="B152" t="s">
        <v>49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</row>
    <row r="153" spans="1:7" x14ac:dyDescent="0.25">
      <c r="A153" t="s">
        <v>11</v>
      </c>
      <c r="B153" t="s">
        <v>27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</row>
    <row r="154" spans="1:7" x14ac:dyDescent="0.25">
      <c r="A154" t="s">
        <v>13</v>
      </c>
      <c r="B154" t="s">
        <v>13</v>
      </c>
      <c r="C154" t="s">
        <v>26</v>
      </c>
      <c r="D154" t="s">
        <v>9</v>
      </c>
      <c r="E154" t="s">
        <v>9</v>
      </c>
      <c r="F154" t="s">
        <v>9</v>
      </c>
      <c r="G154" t="s">
        <v>9</v>
      </c>
    </row>
    <row r="155" spans="1:7" x14ac:dyDescent="0.25">
      <c r="A155" t="s">
        <v>13</v>
      </c>
      <c r="B155" t="s">
        <v>13</v>
      </c>
      <c r="C155">
        <v>84</v>
      </c>
      <c r="E155" t="s">
        <v>9</v>
      </c>
      <c r="F155" t="s">
        <v>9</v>
      </c>
      <c r="G155" t="s">
        <v>9</v>
      </c>
    </row>
    <row r="156" spans="1:7" x14ac:dyDescent="0.25">
      <c r="A156" t="s">
        <v>7</v>
      </c>
      <c r="B156" t="s">
        <v>23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</row>
    <row r="157" spans="1:7" x14ac:dyDescent="0.25">
      <c r="A157" t="s">
        <v>10</v>
      </c>
      <c r="B157" t="s">
        <v>50</v>
      </c>
      <c r="C157" t="s">
        <v>9</v>
      </c>
      <c r="D157" t="s">
        <v>9</v>
      </c>
      <c r="E157" t="s">
        <v>9</v>
      </c>
      <c r="F157" t="s">
        <v>9</v>
      </c>
      <c r="G157" t="s">
        <v>9</v>
      </c>
    </row>
    <row r="158" spans="1:7" x14ac:dyDescent="0.25">
      <c r="A158" t="s">
        <v>11</v>
      </c>
      <c r="B158" t="s">
        <v>28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</row>
    <row r="159" spans="1:7" x14ac:dyDescent="0.25">
      <c r="A159" t="s">
        <v>13</v>
      </c>
      <c r="B159" t="s">
        <v>13</v>
      </c>
      <c r="C159" t="s">
        <v>26</v>
      </c>
      <c r="D159" t="s">
        <v>9</v>
      </c>
      <c r="E159" t="s">
        <v>9</v>
      </c>
      <c r="F159" t="s">
        <v>9</v>
      </c>
      <c r="G159" t="s">
        <v>9</v>
      </c>
    </row>
    <row r="160" spans="1:7" x14ac:dyDescent="0.25">
      <c r="A160" t="s">
        <v>13</v>
      </c>
      <c r="B160" t="s">
        <v>13</v>
      </c>
      <c r="C160">
        <v>84</v>
      </c>
      <c r="D160" t="s">
        <v>9</v>
      </c>
      <c r="E160" t="s">
        <v>9</v>
      </c>
      <c r="F160" t="s">
        <v>9</v>
      </c>
      <c r="G160" t="s">
        <v>9</v>
      </c>
    </row>
    <row r="161" spans="1:17" x14ac:dyDescent="0.25">
      <c r="A161" t="s">
        <v>29</v>
      </c>
      <c r="B161" t="s">
        <v>30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</row>
    <row r="162" spans="1:17" x14ac:dyDescent="0.25">
      <c r="A162" t="s">
        <v>10</v>
      </c>
      <c r="B162" t="s">
        <v>51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</row>
    <row r="163" spans="1:17" x14ac:dyDescent="0.25">
      <c r="A163" t="s">
        <v>11</v>
      </c>
      <c r="B163" t="s">
        <v>32</v>
      </c>
      <c r="C163" t="s">
        <v>9</v>
      </c>
      <c r="D163" t="s">
        <v>9</v>
      </c>
      <c r="E163" t="s">
        <v>9</v>
      </c>
      <c r="F163" t="s">
        <v>9</v>
      </c>
      <c r="G163" t="s">
        <v>9</v>
      </c>
    </row>
    <row r="164" spans="1:17" x14ac:dyDescent="0.25">
      <c r="A164" t="s">
        <v>13</v>
      </c>
      <c r="B164" t="s">
        <v>13</v>
      </c>
      <c r="C164" t="s">
        <v>14</v>
      </c>
      <c r="D164" t="s">
        <v>33</v>
      </c>
      <c r="E164" t="s">
        <v>34</v>
      </c>
      <c r="F164" t="s">
        <v>9</v>
      </c>
      <c r="G164" t="s">
        <v>9</v>
      </c>
    </row>
    <row r="165" spans="1:17" x14ac:dyDescent="0.25">
      <c r="A165" t="s">
        <v>13</v>
      </c>
      <c r="B165" t="s">
        <v>13</v>
      </c>
      <c r="C165">
        <v>2063</v>
      </c>
      <c r="D165">
        <v>371</v>
      </c>
      <c r="E165">
        <v>1692</v>
      </c>
    </row>
    <row r="166" spans="1:17" x14ac:dyDescent="0.25">
      <c r="A166" t="s">
        <v>13</v>
      </c>
      <c r="B166" t="s">
        <v>13</v>
      </c>
      <c r="C166" t="s">
        <v>35</v>
      </c>
      <c r="D166" t="s">
        <v>9</v>
      </c>
      <c r="E166" t="s">
        <v>9</v>
      </c>
      <c r="F166" t="s">
        <v>9</v>
      </c>
      <c r="G166" t="s">
        <v>9</v>
      </c>
    </row>
    <row r="167" spans="1:17" x14ac:dyDescent="0.25">
      <c r="A167" t="s">
        <v>13</v>
      </c>
      <c r="B167" t="s">
        <v>13</v>
      </c>
      <c r="C167">
        <v>1023</v>
      </c>
      <c r="E167" t="s">
        <v>9</v>
      </c>
      <c r="F167" t="s">
        <v>9</v>
      </c>
      <c r="G167" t="s">
        <v>9</v>
      </c>
    </row>
    <row r="168" spans="1:17" x14ac:dyDescent="0.25">
      <c r="A168" t="s">
        <v>7</v>
      </c>
      <c r="B168" t="s">
        <v>8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</row>
    <row r="169" spans="1:17" x14ac:dyDescent="0.25">
      <c r="A169" t="s">
        <v>10</v>
      </c>
      <c r="B169" t="s">
        <v>52</v>
      </c>
      <c r="C169" t="s">
        <v>9</v>
      </c>
      <c r="D169" t="s">
        <v>9</v>
      </c>
      <c r="E169" t="s">
        <v>9</v>
      </c>
      <c r="F169" t="s">
        <v>9</v>
      </c>
      <c r="G169" t="s">
        <v>9</v>
      </c>
    </row>
    <row r="170" spans="1:17" x14ac:dyDescent="0.25">
      <c r="A170" t="s">
        <v>11</v>
      </c>
      <c r="B170" t="s">
        <v>12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J170" s="17" t="s">
        <v>64</v>
      </c>
      <c r="K170" s="17"/>
      <c r="L170" s="17"/>
      <c r="M170" s="17" t="s">
        <v>65</v>
      </c>
      <c r="N170" s="17"/>
      <c r="O170" s="17"/>
      <c r="P170" s="17"/>
      <c r="Q170" s="17"/>
    </row>
    <row r="171" spans="1:17" ht="30" x14ac:dyDescent="0.25">
      <c r="A171" t="s">
        <v>13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I171" t="s">
        <v>60</v>
      </c>
      <c r="J171" s="8" t="s">
        <v>62</v>
      </c>
      <c r="K171" s="9" t="s">
        <v>63</v>
      </c>
      <c r="L171" s="8" t="s">
        <v>66</v>
      </c>
      <c r="M171" s="8" t="s">
        <v>67</v>
      </c>
      <c r="N171" s="8" t="s">
        <v>68</v>
      </c>
      <c r="O171" s="8" t="s">
        <v>69</v>
      </c>
      <c r="P171" s="8" t="s">
        <v>59</v>
      </c>
      <c r="Q171" s="8" t="s">
        <v>70</v>
      </c>
    </row>
    <row r="172" spans="1:17" x14ac:dyDescent="0.25">
      <c r="A172" t="s">
        <v>13</v>
      </c>
      <c r="B172" t="s">
        <v>13</v>
      </c>
      <c r="C172">
        <v>1332</v>
      </c>
      <c r="D172">
        <v>1224</v>
      </c>
      <c r="E172">
        <v>108</v>
      </c>
      <c r="F172">
        <v>756</v>
      </c>
      <c r="G172">
        <v>468</v>
      </c>
      <c r="I172">
        <f>C187</f>
        <v>149</v>
      </c>
      <c r="J172">
        <f>_2025_07_28_13_44_28___stats[[#This Row],[Column7]]+G177+G182</f>
        <v>2916</v>
      </c>
      <c r="K172">
        <f>J172/(I172/60)</f>
        <v>1174.2281879194632</v>
      </c>
      <c r="L172">
        <f>_2025_07_28_13_44_28___stats[[#This Row],[Column6]]+F177+F182</f>
        <v>2253</v>
      </c>
      <c r="M172">
        <f>(E202-C204)</f>
        <v>1209</v>
      </c>
      <c r="N172">
        <f>M172/(I172/60)</f>
        <v>486.8456375838926</v>
      </c>
      <c r="O172">
        <f>C204</f>
        <v>1023</v>
      </c>
      <c r="P172">
        <f>D202</f>
        <v>618</v>
      </c>
      <c r="Q172">
        <f>P172/(I172/60)</f>
        <v>248.85906040268455</v>
      </c>
    </row>
    <row r="173" spans="1:17" x14ac:dyDescent="0.25">
      <c r="A173" t="s">
        <v>7</v>
      </c>
      <c r="B173" t="s">
        <v>8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</row>
    <row r="174" spans="1:17" x14ac:dyDescent="0.25">
      <c r="A174" t="s">
        <v>10</v>
      </c>
      <c r="B174" t="s">
        <v>53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</row>
    <row r="175" spans="1:17" x14ac:dyDescent="0.25">
      <c r="A175" t="s">
        <v>11</v>
      </c>
      <c r="B175" t="s">
        <v>20</v>
      </c>
      <c r="C175" t="s">
        <v>9</v>
      </c>
      <c r="D175" t="s">
        <v>9</v>
      </c>
      <c r="E175" t="s">
        <v>9</v>
      </c>
      <c r="F175" t="s">
        <v>9</v>
      </c>
      <c r="G175" t="s">
        <v>9</v>
      </c>
    </row>
    <row r="176" spans="1:17" x14ac:dyDescent="0.25">
      <c r="A176" t="s">
        <v>13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</row>
    <row r="177" spans="1:7" x14ac:dyDescent="0.25">
      <c r="A177" t="s">
        <v>13</v>
      </c>
      <c r="B177" t="s">
        <v>13</v>
      </c>
      <c r="C177">
        <v>2298</v>
      </c>
      <c r="D177">
        <v>1840</v>
      </c>
      <c r="E177">
        <v>458</v>
      </c>
      <c r="F177">
        <v>754</v>
      </c>
      <c r="G177">
        <v>1086</v>
      </c>
    </row>
    <row r="178" spans="1:7" x14ac:dyDescent="0.25">
      <c r="A178" t="s">
        <v>7</v>
      </c>
      <c r="B178" t="s">
        <v>8</v>
      </c>
      <c r="C178" t="s">
        <v>9</v>
      </c>
      <c r="D178" t="s">
        <v>9</v>
      </c>
      <c r="E178" t="s">
        <v>9</v>
      </c>
      <c r="F178" t="s">
        <v>9</v>
      </c>
      <c r="G178" t="s">
        <v>9</v>
      </c>
    </row>
    <row r="179" spans="1:7" x14ac:dyDescent="0.25">
      <c r="A179" t="s">
        <v>10</v>
      </c>
      <c r="B179" t="s">
        <v>54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</row>
    <row r="180" spans="1:7" x14ac:dyDescent="0.25">
      <c r="A180" t="s">
        <v>11</v>
      </c>
      <c r="B180" t="s">
        <v>22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</row>
    <row r="181" spans="1:7" x14ac:dyDescent="0.25">
      <c r="A181" t="s">
        <v>13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</row>
    <row r="182" spans="1:7" x14ac:dyDescent="0.25">
      <c r="A182" t="s">
        <v>13</v>
      </c>
      <c r="B182" t="s">
        <v>13</v>
      </c>
      <c r="C182">
        <v>2665</v>
      </c>
      <c r="D182">
        <v>2105</v>
      </c>
      <c r="E182">
        <v>560</v>
      </c>
      <c r="F182">
        <v>743</v>
      </c>
      <c r="G182">
        <v>1362</v>
      </c>
    </row>
    <row r="183" spans="1:7" x14ac:dyDescent="0.25">
      <c r="A183" t="s">
        <v>7</v>
      </c>
      <c r="B183" t="s">
        <v>23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</row>
    <row r="184" spans="1:7" x14ac:dyDescent="0.25">
      <c r="A184" t="s">
        <v>10</v>
      </c>
      <c r="B184" t="s">
        <v>55</v>
      </c>
      <c r="C184" t="s">
        <v>9</v>
      </c>
      <c r="D184" t="s">
        <v>9</v>
      </c>
      <c r="E184" t="s">
        <v>9</v>
      </c>
      <c r="F184" t="s">
        <v>9</v>
      </c>
      <c r="G184" t="s">
        <v>9</v>
      </c>
    </row>
    <row r="185" spans="1:7" x14ac:dyDescent="0.25">
      <c r="A185" t="s">
        <v>11</v>
      </c>
      <c r="B185" t="s">
        <v>25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</row>
    <row r="186" spans="1:7" x14ac:dyDescent="0.25">
      <c r="A186" t="s">
        <v>13</v>
      </c>
      <c r="B186" t="s">
        <v>13</v>
      </c>
      <c r="C186" t="s">
        <v>26</v>
      </c>
      <c r="D186" t="s">
        <v>9</v>
      </c>
      <c r="E186" t="s">
        <v>9</v>
      </c>
      <c r="F186" t="s">
        <v>9</v>
      </c>
      <c r="G186" t="s">
        <v>9</v>
      </c>
    </row>
    <row r="187" spans="1:7" x14ac:dyDescent="0.25">
      <c r="A187" t="s">
        <v>13</v>
      </c>
      <c r="B187" t="s">
        <v>13</v>
      </c>
      <c r="C187">
        <v>149</v>
      </c>
      <c r="D187" t="s">
        <v>9</v>
      </c>
      <c r="E187" t="s">
        <v>9</v>
      </c>
      <c r="F187" t="s">
        <v>9</v>
      </c>
      <c r="G187" t="s">
        <v>9</v>
      </c>
    </row>
    <row r="188" spans="1:7" x14ac:dyDescent="0.25">
      <c r="A188" t="s">
        <v>7</v>
      </c>
      <c r="B188" t="s">
        <v>23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</row>
    <row r="189" spans="1:7" x14ac:dyDescent="0.25">
      <c r="A189" t="s">
        <v>10</v>
      </c>
      <c r="B189" t="s">
        <v>55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</row>
    <row r="190" spans="1:7" x14ac:dyDescent="0.25">
      <c r="A190" t="s">
        <v>11</v>
      </c>
      <c r="B190" t="s">
        <v>27</v>
      </c>
      <c r="C190" t="s">
        <v>9</v>
      </c>
      <c r="D190" t="s">
        <v>9</v>
      </c>
      <c r="E190" t="s">
        <v>9</v>
      </c>
      <c r="F190" t="s">
        <v>9</v>
      </c>
      <c r="G190" t="s">
        <v>9</v>
      </c>
    </row>
    <row r="191" spans="1:7" x14ac:dyDescent="0.25">
      <c r="A191" t="s">
        <v>13</v>
      </c>
      <c r="B191" t="s">
        <v>13</v>
      </c>
      <c r="C191" t="s">
        <v>26</v>
      </c>
      <c r="D191" t="s">
        <v>9</v>
      </c>
      <c r="E191" t="s">
        <v>9</v>
      </c>
      <c r="F191" t="s">
        <v>9</v>
      </c>
      <c r="G191" t="s">
        <v>9</v>
      </c>
    </row>
    <row r="192" spans="1:7" x14ac:dyDescent="0.25">
      <c r="A192" t="s">
        <v>13</v>
      </c>
      <c r="B192" t="s">
        <v>13</v>
      </c>
      <c r="C192">
        <v>149</v>
      </c>
      <c r="D192" t="s">
        <v>9</v>
      </c>
      <c r="E192" t="s">
        <v>9</v>
      </c>
      <c r="F192" t="s">
        <v>9</v>
      </c>
      <c r="G192" t="s">
        <v>9</v>
      </c>
    </row>
    <row r="193" spans="1:16" x14ac:dyDescent="0.25">
      <c r="A193" t="s">
        <v>7</v>
      </c>
      <c r="B193" t="s">
        <v>23</v>
      </c>
      <c r="C193" t="s">
        <v>9</v>
      </c>
      <c r="D193" t="s">
        <v>9</v>
      </c>
      <c r="E193" t="s">
        <v>9</v>
      </c>
      <c r="F193" t="s">
        <v>9</v>
      </c>
      <c r="G193" t="s">
        <v>9</v>
      </c>
    </row>
    <row r="194" spans="1:16" x14ac:dyDescent="0.25">
      <c r="A194" t="s">
        <v>10</v>
      </c>
      <c r="B194" t="s">
        <v>55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</row>
    <row r="195" spans="1:16" x14ac:dyDescent="0.25">
      <c r="A195" t="s">
        <v>11</v>
      </c>
      <c r="B195" t="s">
        <v>28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</row>
    <row r="196" spans="1:16" x14ac:dyDescent="0.25">
      <c r="A196" t="s">
        <v>13</v>
      </c>
      <c r="B196" t="s">
        <v>13</v>
      </c>
      <c r="C196" t="s">
        <v>26</v>
      </c>
      <c r="D196" t="s">
        <v>9</v>
      </c>
      <c r="E196" t="s">
        <v>9</v>
      </c>
      <c r="F196" t="s">
        <v>9</v>
      </c>
      <c r="G196" t="s">
        <v>9</v>
      </c>
    </row>
    <row r="197" spans="1:16" x14ac:dyDescent="0.25">
      <c r="A197" t="s">
        <v>13</v>
      </c>
      <c r="B197" t="s">
        <v>13</v>
      </c>
      <c r="C197">
        <v>149</v>
      </c>
      <c r="D197" t="s">
        <v>9</v>
      </c>
      <c r="E197" t="s">
        <v>9</v>
      </c>
      <c r="F197" t="s">
        <v>9</v>
      </c>
      <c r="G197" t="s">
        <v>9</v>
      </c>
    </row>
    <row r="198" spans="1:16" x14ac:dyDescent="0.25">
      <c r="A198" t="s">
        <v>29</v>
      </c>
      <c r="B198" t="s">
        <v>30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</row>
    <row r="199" spans="1:16" x14ac:dyDescent="0.25">
      <c r="A199" t="s">
        <v>10</v>
      </c>
      <c r="B199" t="s">
        <v>56</v>
      </c>
      <c r="C199" t="s">
        <v>9</v>
      </c>
      <c r="D199" t="s">
        <v>9</v>
      </c>
      <c r="E199" t="s">
        <v>9</v>
      </c>
      <c r="F199" t="s">
        <v>9</v>
      </c>
      <c r="G199" t="s">
        <v>9</v>
      </c>
    </row>
    <row r="200" spans="1:16" x14ac:dyDescent="0.25">
      <c r="A200" t="s">
        <v>11</v>
      </c>
      <c r="B200" t="s">
        <v>32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</row>
    <row r="201" spans="1:16" x14ac:dyDescent="0.25">
      <c r="A201" t="s">
        <v>13</v>
      </c>
      <c r="B201" t="s">
        <v>13</v>
      </c>
      <c r="C201" t="s">
        <v>14</v>
      </c>
      <c r="D201" t="s">
        <v>33</v>
      </c>
      <c r="E201" t="s">
        <v>34</v>
      </c>
      <c r="F201" t="s">
        <v>9</v>
      </c>
      <c r="G201" t="s">
        <v>9</v>
      </c>
    </row>
    <row r="202" spans="1:16" x14ac:dyDescent="0.25">
      <c r="A202" t="s">
        <v>13</v>
      </c>
      <c r="B202" t="s">
        <v>13</v>
      </c>
      <c r="C202">
        <v>2850</v>
      </c>
      <c r="D202">
        <v>618</v>
      </c>
      <c r="E202">
        <v>2232</v>
      </c>
    </row>
    <row r="203" spans="1:16" x14ac:dyDescent="0.25">
      <c r="A203" t="s">
        <v>13</v>
      </c>
      <c r="B203" t="s">
        <v>13</v>
      </c>
      <c r="C203" t="s">
        <v>35</v>
      </c>
      <c r="D203" t="s">
        <v>9</v>
      </c>
      <c r="E203" t="s">
        <v>9</v>
      </c>
      <c r="F203" t="s">
        <v>9</v>
      </c>
      <c r="G203" t="s">
        <v>9</v>
      </c>
    </row>
    <row r="204" spans="1:16" x14ac:dyDescent="0.25">
      <c r="A204" t="s">
        <v>13</v>
      </c>
      <c r="B204" t="s">
        <v>13</v>
      </c>
      <c r="C204">
        <v>1023</v>
      </c>
      <c r="D204" t="s">
        <v>9</v>
      </c>
      <c r="E204" t="s">
        <v>9</v>
      </c>
      <c r="F204" t="s">
        <v>9</v>
      </c>
      <c r="G204" t="s">
        <v>9</v>
      </c>
    </row>
    <row r="207" spans="1:16" x14ac:dyDescent="0.25">
      <c r="N207" s="17"/>
      <c r="O207" s="17"/>
      <c r="P207" s="17"/>
    </row>
    <row r="208" spans="1:16" x14ac:dyDescent="0.25">
      <c r="N208" s="8"/>
      <c r="O208" s="9"/>
      <c r="P208" s="8"/>
    </row>
  </sheetData>
  <mergeCells count="12">
    <mergeCell ref="J170:L170"/>
    <mergeCell ref="M170:Q170"/>
    <mergeCell ref="N207:P207"/>
    <mergeCell ref="M22:Q22"/>
    <mergeCell ref="J59:L59"/>
    <mergeCell ref="M59:Q59"/>
    <mergeCell ref="J96:L96"/>
    <mergeCell ref="M96:Q96"/>
    <mergeCell ref="J133:L133"/>
    <mergeCell ref="M133:Q133"/>
    <mergeCell ref="J52:K52"/>
    <mergeCell ref="J22:L2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DFFF-B0A3-42A1-8497-E99B68F439B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658367-8872-48D1-8D50-D9D7486665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2025-07-28_13-44-28___stats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Jankowski</dc:creator>
  <cp:lastModifiedBy>Robert Jankowski</cp:lastModifiedBy>
  <dcterms:created xsi:type="dcterms:W3CDTF">2025-07-28T12:41:40Z</dcterms:created>
  <dcterms:modified xsi:type="dcterms:W3CDTF">2025-07-28T14:58:26Z</dcterms:modified>
</cp:coreProperties>
</file>